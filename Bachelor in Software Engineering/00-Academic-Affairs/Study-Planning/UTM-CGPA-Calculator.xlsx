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GPA" sheetId="1" r:id="rId4"/>
    <sheet state="visible" name="الورقة2" sheetId="2" r:id="rId5"/>
    <sheet state="visible" name="TABLE" sheetId="3" r:id="rId6"/>
  </sheets>
  <definedNames/>
  <calcPr/>
  <extLst>
    <ext uri="GoogleSheetsCustomDataVersion2">
      <go:sheetsCustomData xmlns:go="http://customooxmlschemas.google.com/" r:id="rId7" roundtripDataChecksum="OUiU/3vFEB3PwRIU7/xO8Uf9Wmc9+HIJGhg1/3+7Tm4="/>
    </ext>
  </extLst>
</workbook>
</file>

<file path=xl/sharedStrings.xml><?xml version="1.0" encoding="utf-8"?>
<sst xmlns="http://schemas.openxmlformats.org/spreadsheetml/2006/main" count="118" uniqueCount="72">
  <si>
    <t>30%</t>
  </si>
  <si>
    <t>20%</t>
  </si>
  <si>
    <t>Carrymark</t>
  </si>
  <si>
    <t xml:space="preserve">final exam </t>
  </si>
  <si>
    <t>ADT-1</t>
  </si>
  <si>
    <t>Cross</t>
  </si>
  <si>
    <t>NC</t>
  </si>
  <si>
    <t>PSDA</t>
  </si>
  <si>
    <t>SDA</t>
  </si>
  <si>
    <t xml:space="preserve"> </t>
  </si>
  <si>
    <t>BI</t>
  </si>
  <si>
    <t>Proposal + Engagement</t>
  </si>
  <si>
    <t>Lab Exercise</t>
  </si>
  <si>
    <t>Labs(1-5)</t>
  </si>
  <si>
    <t>Assignemt(1-3)</t>
  </si>
  <si>
    <t xml:space="preserve">Quiz 1 </t>
  </si>
  <si>
    <t xml:space="preserve">Quiz </t>
  </si>
  <si>
    <t>Progress(1-3)</t>
  </si>
  <si>
    <t>Assignemtn 1</t>
  </si>
  <si>
    <t>Test 1</t>
  </si>
  <si>
    <t>Quiz 2</t>
  </si>
  <si>
    <t>Assignment 1</t>
  </si>
  <si>
    <t>High Fidelity Proto</t>
  </si>
  <si>
    <t>Assignemtn 2</t>
  </si>
  <si>
    <t xml:space="preserve">Test 2 </t>
  </si>
  <si>
    <t>Assignment (1+2)</t>
  </si>
  <si>
    <t>Assignment 2</t>
  </si>
  <si>
    <t>Project Mange</t>
  </si>
  <si>
    <t xml:space="preserve">P-Discovery </t>
  </si>
  <si>
    <t>Group Project</t>
  </si>
  <si>
    <t>Project 1</t>
  </si>
  <si>
    <t>Project 4: Evaluation report</t>
  </si>
  <si>
    <t>Lab Asg</t>
  </si>
  <si>
    <t>Peer Assesment</t>
  </si>
  <si>
    <t>P-Interim</t>
  </si>
  <si>
    <t>Report</t>
  </si>
  <si>
    <t xml:space="preserve">Project 2 </t>
  </si>
  <si>
    <t>Leadership</t>
  </si>
  <si>
    <t>Pro-Cert Exm</t>
  </si>
  <si>
    <t>Final Report</t>
  </si>
  <si>
    <t>P-Demo</t>
  </si>
  <si>
    <t>Mid Term Test</t>
  </si>
  <si>
    <t xml:space="preserve">Mid Test </t>
  </si>
  <si>
    <t>Project  + Peer</t>
  </si>
  <si>
    <t>Demo</t>
  </si>
  <si>
    <t xml:space="preserve">FINAL </t>
  </si>
  <si>
    <t>FINAL</t>
  </si>
  <si>
    <t>Final</t>
  </si>
  <si>
    <t xml:space="preserve">TOTAL </t>
  </si>
  <si>
    <t>Fidelity Mock-up</t>
  </si>
  <si>
    <t>GPA</t>
  </si>
  <si>
    <t>RESULT</t>
  </si>
  <si>
    <t>SEM 1</t>
  </si>
  <si>
    <t>THIS SEM 4</t>
  </si>
  <si>
    <t xml:space="preserve">CGPA </t>
  </si>
  <si>
    <t>SEM 2</t>
  </si>
  <si>
    <t>SEM 3</t>
  </si>
  <si>
    <t>SEM 4</t>
  </si>
  <si>
    <t>DAY</t>
  </si>
  <si>
    <t>MON</t>
  </si>
  <si>
    <t>-----------------------------------------------------</t>
  </si>
  <si>
    <t>SPM (3)</t>
  </si>
  <si>
    <t>TUE</t>
  </si>
  <si>
    <t>OP (1)</t>
  </si>
  <si>
    <t>Ko_Q(1)</t>
  </si>
  <si>
    <t>WED</t>
  </si>
  <si>
    <t>SRE (2)</t>
  </si>
  <si>
    <t>DSA (3)</t>
  </si>
  <si>
    <t>THU</t>
  </si>
  <si>
    <t>-----------------------------------------------------------------------------</t>
  </si>
  <si>
    <t>FRI</t>
  </si>
  <si>
    <t>HCIF(1)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</si>
</sst>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1.0"/>
      <color theme="1"/>
      <name val="Calibri"/>
      <scheme val="minor"/>
    </font>
    <font>
      <b/>
      <sz val="15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sz val="16.0"/>
      <color rgb="FFFFFFFF"/>
      <name val="Calibri"/>
    </font>
    <font>
      <b/>
      <sz val="20.0"/>
      <color rgb="FFFFFFFF"/>
      <name val="Calibri"/>
    </font>
    <font>
      <b/>
      <sz val="29.0"/>
      <color rgb="FFFFFF00"/>
      <name val="Calibri"/>
    </font>
    <font>
      <sz val="20.0"/>
      <color rgb="FFFFFFFF"/>
      <name val="Calibri"/>
    </font>
    <font>
      <b/>
      <sz val="48.0"/>
      <color rgb="FFFFFFFF"/>
      <name val="Calibri"/>
    </font>
    <font>
      <sz val="11.0"/>
      <color theme="1"/>
      <name val="Calibri"/>
    </font>
    <font>
      <b/>
      <color theme="1"/>
      <name val="Calibri"/>
    </font>
    <font>
      <b/>
      <sz val="9.0"/>
      <color rgb="FF000000"/>
      <name val="Calibri"/>
    </font>
    <font>
      <b/>
      <sz val="11.0"/>
      <color rgb="FF000000"/>
      <name val="Calibri"/>
    </font>
    <font>
      <b/>
      <sz val="16.0"/>
      <color theme="1"/>
      <name val="Calibri"/>
    </font>
    <font>
      <b/>
      <sz val="12.0"/>
      <color rgb="FF000000"/>
      <name val="Calibri"/>
    </font>
    <font/>
    <font>
      <sz val="20.0"/>
      <color theme="1"/>
      <name val="Calibri"/>
    </font>
    <font>
      <sz val="56.0"/>
      <color rgb="FFFFFFFF"/>
      <name val="Calibri"/>
    </font>
    <font>
      <sz val="72.0"/>
      <color rgb="FF38761D"/>
      <name val="Calibri"/>
    </font>
    <font>
      <b/>
      <sz val="11.0"/>
      <color rgb="FFFFFFFF"/>
      <name val="Calibri"/>
    </font>
    <font>
      <b/>
      <sz val="36.0"/>
      <color rgb="FF980000"/>
      <name val="Calibri"/>
    </font>
    <font>
      <b/>
      <sz val="36.0"/>
      <color rgb="FF000000"/>
      <name val="Calibri"/>
    </font>
    <font>
      <b/>
      <sz val="13.0"/>
      <color theme="1"/>
      <name val="Calibri"/>
    </font>
    <font>
      <b/>
      <sz val="43.0"/>
      <color rgb="FFFFFFFF"/>
      <name val="Calibri"/>
    </font>
    <font>
      <b/>
      <u/>
      <sz val="48.0"/>
      <color rgb="FF000000"/>
      <name val="Comic Sans MS"/>
    </font>
    <font>
      <b/>
      <sz val="13.0"/>
      <color rgb="FFFFFFFF"/>
      <name val="Calibri"/>
    </font>
    <font>
      <sz val="28.0"/>
      <color theme="1"/>
      <name val="Calibri"/>
    </font>
    <font>
      <sz val="28.0"/>
      <color rgb="FFFFFFFF"/>
      <name val="Calibri"/>
    </font>
    <font>
      <sz val="28.0"/>
      <color rgb="FFFFFF00"/>
      <name val="Calibri"/>
    </font>
    <font>
      <sz val="28.0"/>
      <color rgb="FF0000FF"/>
      <name val="Calibri"/>
    </font>
    <font>
      <sz val="28.0"/>
      <color rgb="FF274E13"/>
      <name val="Calibri"/>
    </font>
    <font>
      <b/>
      <sz val="36.0"/>
      <color rgb="FFFFFFFF"/>
      <name val="Calibri"/>
    </font>
    <font>
      <b/>
      <sz val="32.0"/>
      <color rgb="FFFFFFFF"/>
      <name val="Calibri"/>
    </font>
    <font>
      <b/>
      <sz val="28.0"/>
      <color rgb="FFFFFFFF"/>
      <name val="Calibri"/>
    </font>
    <font>
      <b/>
      <sz val="22.0"/>
      <color rgb="FFFFFFFF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9900FF"/>
        <bgColor rgb="FF9900FF"/>
      </patternFill>
    </fill>
    <fill>
      <patternFill patternType="solid">
        <fgColor rgb="FF134F5C"/>
        <bgColor rgb="FF134F5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274E13"/>
        <bgColor rgb="FF274E1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center" vertical="center"/>
    </xf>
    <xf borderId="0" fillId="2" fontId="4" numFmtId="0" xfId="0" applyAlignment="1" applyFont="1">
      <alignment horizontal="center" readingOrder="0" vertical="center"/>
    </xf>
    <xf borderId="0" fillId="3" fontId="5" numFmtId="2" xfId="0" applyAlignment="1" applyFill="1" applyFont="1" applyNumberFormat="1">
      <alignment horizontal="center" vertical="center"/>
    </xf>
    <xf borderId="0" fillId="4" fontId="6" numFmtId="0" xfId="0" applyAlignment="1" applyFill="1" applyFont="1">
      <alignment horizontal="center" vertical="center"/>
    </xf>
    <xf borderId="0" fillId="3" fontId="7" numFmtId="2" xfId="0" applyAlignment="1" applyFont="1" applyNumberFormat="1">
      <alignment horizontal="center" vertical="center"/>
    </xf>
    <xf borderId="0" fillId="4" fontId="6" numFmtId="2" xfId="0" applyAlignment="1" applyFont="1" applyNumberFormat="1">
      <alignment horizontal="center" vertical="center"/>
    </xf>
    <xf borderId="0" fillId="5" fontId="8" numFmtId="0" xfId="0" applyAlignment="1" applyFill="1" applyFont="1">
      <alignment horizontal="center" readingOrder="0" vertical="center"/>
    </xf>
    <xf borderId="0" fillId="6" fontId="8" numFmtId="0" xfId="0" applyAlignment="1" applyFill="1" applyFont="1">
      <alignment horizontal="center" readingOrder="0" vertical="center"/>
    </xf>
    <xf borderId="0" fillId="7" fontId="8" numFmtId="0" xfId="0" applyAlignment="1" applyFill="1" applyFont="1">
      <alignment horizontal="center" readingOrder="0" vertical="center"/>
    </xf>
    <xf borderId="0" fillId="8" fontId="8" numFmtId="0" xfId="0" applyAlignment="1" applyFill="1" applyFont="1">
      <alignment horizontal="center" readingOrder="0" vertical="center"/>
    </xf>
    <xf borderId="0" fillId="9" fontId="8" numFmtId="0" xfId="0" applyAlignment="1" applyFill="1" applyFont="1">
      <alignment horizontal="center" readingOrder="0" vertical="center"/>
    </xf>
    <xf borderId="0" fillId="0" fontId="2" numFmtId="0" xfId="0" applyFont="1"/>
    <xf borderId="0" fillId="10" fontId="8" numFmtId="0" xfId="0" applyAlignment="1" applyFill="1" applyFont="1">
      <alignment horizontal="center" readingOrder="0" vertical="center"/>
    </xf>
    <xf borderId="0" fillId="0" fontId="9" numFmtId="0" xfId="0" applyFont="1"/>
    <xf borderId="1" fillId="11" fontId="10" numFmtId="0" xfId="0" applyAlignment="1" applyBorder="1" applyFill="1" applyFont="1">
      <alignment readingOrder="0"/>
    </xf>
    <xf borderId="1" fillId="12" fontId="11" numFmtId="0" xfId="0" applyAlignment="1" applyBorder="1" applyFill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12" fontId="11" numFmtId="0" xfId="0" applyAlignment="1" applyBorder="1" applyFont="1">
      <alignment horizontal="center" vertical="center"/>
    </xf>
    <xf borderId="1" fillId="11" fontId="13" numFmtId="0" xfId="0" applyAlignment="1" applyBorder="1" applyFont="1">
      <alignment horizontal="center" readingOrder="0" vertical="center"/>
    </xf>
    <xf borderId="1" fillId="12" fontId="14" numFmtId="0" xfId="0" applyAlignment="1" applyBorder="1" applyFont="1">
      <alignment horizontal="center" readingOrder="0" vertical="center"/>
    </xf>
    <xf borderId="1" fillId="11" fontId="13" numFmtId="0" xfId="0" applyAlignment="1" applyBorder="1" applyFont="1">
      <alignment horizontal="center" vertical="center"/>
    </xf>
    <xf borderId="1" fillId="12" fontId="1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3" fillId="0" fontId="15" numFmtId="0" xfId="0" applyBorder="1" applyFont="1"/>
    <xf borderId="4" fillId="0" fontId="15" numFmtId="0" xfId="0" applyBorder="1" applyFont="1"/>
    <xf borderId="3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0" fillId="12" fontId="16" numFmtId="0" xfId="0" applyAlignment="1" applyFont="1">
      <alignment horizontal="center" vertical="center"/>
    </xf>
    <xf borderId="0" fillId="13" fontId="17" numFmtId="2" xfId="0" applyAlignment="1" applyFill="1" applyFont="1" applyNumberFormat="1">
      <alignment horizontal="center" vertical="center"/>
    </xf>
    <xf borderId="0" fillId="14" fontId="2" numFmtId="0" xfId="0" applyFill="1" applyFont="1"/>
    <xf borderId="0" fillId="14" fontId="9" numFmtId="0" xfId="0" applyFont="1"/>
    <xf borderId="0" fillId="15" fontId="18" numFmtId="0" xfId="0" applyAlignment="1" applyFill="1" applyFont="1">
      <alignment horizontal="center" vertical="center"/>
    </xf>
    <xf borderId="0" fillId="16" fontId="19" numFmtId="0" xfId="0" applyAlignment="1" applyFill="1" applyFont="1">
      <alignment horizontal="center" vertical="center"/>
    </xf>
    <xf borderId="0" fillId="17" fontId="20" numFmtId="0" xfId="0" applyAlignment="1" applyFill="1" applyFont="1">
      <alignment horizontal="center" readingOrder="0" vertical="center"/>
    </xf>
    <xf borderId="0" fillId="14" fontId="21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2" fontId="23" numFmtId="2" xfId="0" applyAlignment="1" applyFont="1" applyNumberFormat="1">
      <alignment horizontal="center" vertical="center"/>
    </xf>
    <xf borderId="0" fillId="11" fontId="24" numFmtId="4" xfId="0" applyAlignment="1" applyFont="1" applyNumberFormat="1">
      <alignment horizontal="center" vertical="center"/>
    </xf>
    <xf borderId="0" fillId="16" fontId="19" numFmtId="0" xfId="0" applyAlignment="1" applyFont="1">
      <alignment horizontal="center" readingOrder="0" vertical="center"/>
    </xf>
    <xf borderId="0" fillId="18" fontId="19" numFmtId="0" xfId="0" applyAlignment="1" applyFill="1" applyFont="1">
      <alignment horizontal="center" readingOrder="0" vertical="center"/>
    </xf>
    <xf borderId="0" fillId="2" fontId="25" numFmtId="2" xfId="0" applyAlignment="1" applyFont="1" applyNumberFormat="1">
      <alignment horizontal="center" vertical="center"/>
    </xf>
    <xf borderId="0" fillId="0" fontId="26" numFmtId="0" xfId="0" applyAlignment="1" applyFont="1">
      <alignment horizontal="center" vertical="center"/>
    </xf>
    <xf borderId="0" fillId="19" fontId="27" numFmtId="0" xfId="0" applyAlignment="1" applyFill="1" applyFont="1">
      <alignment horizontal="center" vertical="center"/>
    </xf>
    <xf borderId="0" fillId="19" fontId="28" numFmtId="0" xfId="0" applyAlignment="1" applyFont="1">
      <alignment horizontal="center" vertical="center"/>
    </xf>
    <xf borderId="0" fillId="20" fontId="29" numFmtId="0" xfId="0" applyAlignment="1" applyFill="1" applyFont="1">
      <alignment horizontal="center" vertical="center"/>
    </xf>
    <xf borderId="0" fillId="21" fontId="30" numFmtId="0" xfId="0" applyAlignment="1" applyFill="1" applyFont="1">
      <alignment horizontal="center" vertical="center"/>
    </xf>
    <xf borderId="0" fillId="5" fontId="31" numFmtId="0" xfId="0" applyAlignment="1" applyFont="1">
      <alignment horizontal="center" vertical="center"/>
    </xf>
    <xf borderId="0" fillId="9" fontId="32" numFmtId="0" xfId="0" applyAlignment="1" applyFont="1">
      <alignment horizontal="center" vertical="center"/>
    </xf>
    <xf borderId="0" fillId="22" fontId="30" numFmtId="0" xfId="0" applyAlignment="1" applyFill="1" applyFont="1">
      <alignment horizontal="center" vertical="center"/>
    </xf>
    <xf borderId="0" fillId="4" fontId="31" numFmtId="0" xfId="0" applyAlignment="1" applyFont="1">
      <alignment horizontal="center" vertical="center"/>
    </xf>
    <xf borderId="0" fillId="9" fontId="33" numFmtId="0" xfId="0" applyAlignment="1" applyFont="1">
      <alignment horizontal="center" vertical="center"/>
    </xf>
    <xf borderId="0" fillId="6" fontId="31" numFmtId="0" xfId="0" applyAlignment="1" applyFont="1">
      <alignment horizontal="center" vertical="center"/>
    </xf>
    <xf borderId="0" fillId="10" fontId="31" numFmtId="0" xfId="0" applyAlignment="1" applyFont="1">
      <alignment horizontal="center" vertical="center"/>
    </xf>
    <xf borderId="0" fillId="10" fontId="3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.86"/>
    <col customWidth="1" min="3" max="3" width="22.43"/>
    <col customWidth="1" min="4" max="4" width="13.57"/>
    <col customWidth="1" min="5" max="5" width="14.86"/>
    <col customWidth="1" min="6" max="6" width="4.14"/>
    <col customWidth="1" min="7" max="7" width="13.86"/>
    <col customWidth="1" min="8" max="8" width="13.43"/>
    <col customWidth="1" min="9" max="9" width="14.14"/>
    <col customWidth="1" min="10" max="10" width="4.71"/>
    <col customWidth="1" min="11" max="11" width="14.14"/>
    <col customWidth="1" min="12" max="12" width="13.29"/>
    <col customWidth="1" min="13" max="13" width="10.0"/>
    <col customWidth="1" min="14" max="14" width="6.29"/>
    <col customWidth="1" min="15" max="15" width="14.0"/>
    <col customWidth="1" min="16" max="16" width="13.29"/>
    <col customWidth="1" min="17" max="17" width="14.29"/>
    <col customWidth="1" min="18" max="18" width="7.0"/>
    <col customWidth="1" min="19" max="19" width="35.57"/>
    <col customWidth="1" min="20" max="20" width="12.71"/>
    <col customWidth="1" min="21" max="21" width="11.86"/>
    <col customWidth="1" min="22" max="22" width="6.43"/>
    <col customWidth="1" min="23" max="23" width="14.43"/>
    <col customWidth="1" min="24" max="24" width="13.14"/>
    <col customWidth="1" min="25" max="25" width="10.14"/>
    <col customWidth="1" min="26" max="27" width="8.71"/>
  </cols>
  <sheetData>
    <row r="1">
      <c r="C1" s="1" t="s">
        <v>0</v>
      </c>
      <c r="D1" s="2">
        <f>(C18*D2)</f>
        <v>12</v>
      </c>
      <c r="E1" s="1" t="s">
        <v>1</v>
      </c>
      <c r="G1" s="1" t="s">
        <v>0</v>
      </c>
      <c r="H1" s="2">
        <f>(G18*H2)</f>
        <v>12</v>
      </c>
      <c r="I1" s="1" t="s">
        <v>1</v>
      </c>
      <c r="K1" s="1" t="s">
        <v>0</v>
      </c>
      <c r="L1" s="2">
        <f>(K18*L2)</f>
        <v>12</v>
      </c>
      <c r="M1" s="1" t="s">
        <v>1</v>
      </c>
      <c r="O1" s="1" t="s">
        <v>0</v>
      </c>
      <c r="P1" s="2">
        <f>(O18*P2)</f>
        <v>12</v>
      </c>
      <c r="Q1" s="1" t="s">
        <v>1</v>
      </c>
      <c r="S1" s="1" t="s">
        <v>0</v>
      </c>
      <c r="T1" s="2">
        <f>(S18*T2)</f>
        <v>11.9844</v>
      </c>
      <c r="U1" s="1" t="s">
        <v>1</v>
      </c>
      <c r="W1" s="1" t="s">
        <v>0</v>
      </c>
      <c r="X1" s="2">
        <f>(W18*X2)</f>
        <v>12</v>
      </c>
      <c r="Y1" s="1" t="s">
        <v>1</v>
      </c>
    </row>
    <row r="2">
      <c r="A2" s="3"/>
      <c r="B2" s="3"/>
      <c r="C2" s="4" t="s">
        <v>2</v>
      </c>
      <c r="D2" s="5">
        <v>3.0</v>
      </c>
      <c r="E2" s="4" t="s">
        <v>3</v>
      </c>
      <c r="F2" s="3"/>
      <c r="G2" s="4" t="s">
        <v>2</v>
      </c>
      <c r="H2" s="5">
        <v>3.0</v>
      </c>
      <c r="I2" s="4" t="s">
        <v>3</v>
      </c>
      <c r="J2" s="3"/>
      <c r="K2" s="4" t="s">
        <v>2</v>
      </c>
      <c r="L2" s="5">
        <v>3.0</v>
      </c>
      <c r="M2" s="4" t="s">
        <v>3</v>
      </c>
      <c r="N2" s="3"/>
      <c r="O2" s="4" t="s">
        <v>2</v>
      </c>
      <c r="P2" s="5">
        <v>3.0</v>
      </c>
      <c r="Q2" s="4" t="s">
        <v>3</v>
      </c>
      <c r="R2" s="3"/>
      <c r="S2" s="4" t="s">
        <v>2</v>
      </c>
      <c r="T2" s="5">
        <v>3.0</v>
      </c>
      <c r="U2" s="4" t="s">
        <v>3</v>
      </c>
      <c r="V2" s="3"/>
      <c r="W2" s="4" t="s">
        <v>2</v>
      </c>
      <c r="X2" s="6">
        <v>3.0</v>
      </c>
      <c r="Y2" s="4" t="s">
        <v>3</v>
      </c>
      <c r="Z2" s="3"/>
      <c r="AA2" s="3"/>
    </row>
    <row r="3">
      <c r="C3" s="7">
        <f>((E8+E9+E10+E11+E12+E13)*100)/(D8+D9+D10+D11+D12+D13)</f>
        <v>0</v>
      </c>
      <c r="D3" s="8">
        <f>E8+E9+E10+E11+E12+E13+E14</f>
        <v>100</v>
      </c>
      <c r="E3" s="9">
        <f>((E14)*100)/D14</f>
        <v>2000</v>
      </c>
      <c r="G3" s="7">
        <f>((I8+I9+I10+I11+I12+I13)*100)/(H8+H9+H10+H11+H12+H13)</f>
        <v>0</v>
      </c>
      <c r="H3" s="8">
        <f>I8+I9+I10+I11+I12+I13+I14</f>
        <v>100</v>
      </c>
      <c r="I3" s="9">
        <f>((I14)*100)/H14</f>
        <v>333.3333333</v>
      </c>
      <c r="K3" s="7">
        <f>((M8+M9+M10+M11+M12+M13)*100)/(L8+L9+L10+L11+L12+L13)</f>
        <v>0</v>
      </c>
      <c r="L3" s="8">
        <f>M8+M9+M10+M11+M12+M13+M14</f>
        <v>100</v>
      </c>
      <c r="M3" s="9">
        <f>((M14)*100)/L14</f>
        <v>285.7142857</v>
      </c>
      <c r="O3" s="7">
        <f>((Q8+Q9+Q10+Q11+Q12+Q13)*100)/(P8+P9+P10+P11+P12+P13)</f>
        <v>0</v>
      </c>
      <c r="P3" s="8">
        <f>Q8+Q9+Q10+Q11+Q12+Q13+Q14</f>
        <v>100</v>
      </c>
      <c r="Q3" s="9">
        <f>((Q14)*100)/P14</f>
        <v>250</v>
      </c>
      <c r="S3" s="7">
        <f>((U8+U9+U10+U11+U12+U13)*100)/(T8+T9+T10+T11+T12+T13)</f>
        <v>5.528571429</v>
      </c>
      <c r="T3" s="8">
        <f>U8+U9+U10+U11+U12+U13+U14</f>
        <v>99.87</v>
      </c>
      <c r="U3" s="9">
        <f>((U14)*100)/T14</f>
        <v>320</v>
      </c>
      <c r="W3" s="7">
        <f>((Y8+Y9+Y10+Y11+Y12+Y13)*100)/(X8+X9+X10+X11+X12+X13)</f>
        <v>0</v>
      </c>
      <c r="X3" s="10">
        <f>Y8+Y9+Y10+Y11+Y12+Y13+Y14</f>
        <v>100</v>
      </c>
      <c r="Y3" s="9">
        <f>((Y14)*100)/X14</f>
        <v>333.3333333</v>
      </c>
    </row>
    <row r="5">
      <c r="C5" s="11" t="s">
        <v>4</v>
      </c>
      <c r="G5" s="12" t="s">
        <v>5</v>
      </c>
      <c r="K5" s="13" t="s">
        <v>6</v>
      </c>
      <c r="O5" s="14" t="s">
        <v>7</v>
      </c>
      <c r="S5" s="15" t="s">
        <v>8</v>
      </c>
      <c r="V5" s="16" t="s">
        <v>9</v>
      </c>
      <c r="W5" s="17" t="s">
        <v>10</v>
      </c>
    </row>
    <row r="6">
      <c r="F6" s="18"/>
      <c r="J6" s="18"/>
    </row>
    <row r="7">
      <c r="F7" s="18"/>
      <c r="J7" s="18"/>
    </row>
    <row r="8">
      <c r="C8" s="19" t="s">
        <v>11</v>
      </c>
      <c r="D8" s="20">
        <v>15.0</v>
      </c>
      <c r="E8" s="21">
        <v>0.0</v>
      </c>
      <c r="F8" s="18"/>
      <c r="G8" s="19" t="s">
        <v>12</v>
      </c>
      <c r="H8" s="20">
        <v>20.0</v>
      </c>
      <c r="I8" s="21">
        <v>0.0</v>
      </c>
      <c r="J8" s="18"/>
      <c r="K8" s="19" t="s">
        <v>13</v>
      </c>
      <c r="L8" s="20">
        <v>20.0</v>
      </c>
      <c r="M8" s="21">
        <v>0.0</v>
      </c>
      <c r="O8" s="19" t="s">
        <v>14</v>
      </c>
      <c r="P8" s="20">
        <v>20.0</v>
      </c>
      <c r="Q8" s="21">
        <v>0.0</v>
      </c>
      <c r="S8" s="19" t="s">
        <v>15</v>
      </c>
      <c r="T8" s="20">
        <v>4.0</v>
      </c>
      <c r="U8" s="21">
        <v>3.87</v>
      </c>
      <c r="W8" s="19" t="s">
        <v>16</v>
      </c>
      <c r="X8" s="22">
        <v>10.0</v>
      </c>
      <c r="Y8" s="21">
        <v>0.0</v>
      </c>
    </row>
    <row r="9">
      <c r="C9" s="19" t="s">
        <v>17</v>
      </c>
      <c r="D9" s="20">
        <v>30.0</v>
      </c>
      <c r="E9" s="21">
        <v>0.0</v>
      </c>
      <c r="G9" s="19" t="s">
        <v>18</v>
      </c>
      <c r="H9" s="20">
        <v>8.0</v>
      </c>
      <c r="I9" s="21">
        <v>0.0</v>
      </c>
      <c r="J9" s="16" t="s">
        <v>9</v>
      </c>
      <c r="K9" s="19" t="s">
        <v>19</v>
      </c>
      <c r="L9" s="20">
        <v>15.0</v>
      </c>
      <c r="M9" s="21">
        <v>0.0</v>
      </c>
      <c r="O9" s="19" t="s">
        <v>15</v>
      </c>
      <c r="P9" s="20">
        <v>5.0</v>
      </c>
      <c r="Q9" s="21">
        <v>0.0</v>
      </c>
      <c r="S9" s="19" t="s">
        <v>20</v>
      </c>
      <c r="T9" s="20">
        <v>4.0</v>
      </c>
      <c r="U9" s="21">
        <v>0.0</v>
      </c>
      <c r="W9" s="19" t="s">
        <v>21</v>
      </c>
      <c r="X9" s="20">
        <v>5.0</v>
      </c>
      <c r="Y9" s="21">
        <v>0.0</v>
      </c>
    </row>
    <row r="10">
      <c r="C10" s="19" t="s">
        <v>22</v>
      </c>
      <c r="D10" s="20">
        <v>25.0</v>
      </c>
      <c r="E10" s="21">
        <v>0.0</v>
      </c>
      <c r="G10" s="19" t="s">
        <v>23</v>
      </c>
      <c r="H10" s="20">
        <v>7.0</v>
      </c>
      <c r="I10" s="21">
        <v>0.0</v>
      </c>
      <c r="K10" s="19" t="s">
        <v>24</v>
      </c>
      <c r="L10" s="20">
        <v>15.0</v>
      </c>
      <c r="M10" s="21">
        <v>0.0</v>
      </c>
      <c r="O10" s="19" t="s">
        <v>20</v>
      </c>
      <c r="P10" s="22">
        <v>5.0</v>
      </c>
      <c r="Q10" s="21">
        <v>0.0</v>
      </c>
      <c r="S10" s="19" t="s">
        <v>25</v>
      </c>
      <c r="T10" s="20">
        <v>18.0</v>
      </c>
      <c r="U10" s="21">
        <v>0.0</v>
      </c>
      <c r="W10" s="19" t="s">
        <v>26</v>
      </c>
      <c r="X10" s="20">
        <v>5.0</v>
      </c>
      <c r="Y10" s="21">
        <v>0.0</v>
      </c>
    </row>
    <row r="11">
      <c r="C11" s="19" t="s">
        <v>27</v>
      </c>
      <c r="D11" s="22">
        <v>10.0</v>
      </c>
      <c r="E11" s="21">
        <v>0.0</v>
      </c>
      <c r="G11" s="19" t="s">
        <v>28</v>
      </c>
      <c r="H11" s="20">
        <v>5.0</v>
      </c>
      <c r="I11" s="21">
        <v>0.0</v>
      </c>
      <c r="K11" s="19" t="s">
        <v>29</v>
      </c>
      <c r="L11" s="20">
        <v>10.0</v>
      </c>
      <c r="M11" s="21">
        <v>0.0</v>
      </c>
      <c r="O11" s="19" t="s">
        <v>30</v>
      </c>
      <c r="P11" s="20">
        <v>5.0</v>
      </c>
      <c r="Q11" s="21">
        <v>0.0</v>
      </c>
      <c r="S11" s="19" t="s">
        <v>31</v>
      </c>
      <c r="T11" s="20">
        <v>19.0</v>
      </c>
      <c r="U11" s="21">
        <v>0.0</v>
      </c>
      <c r="W11" s="19" t="s">
        <v>32</v>
      </c>
      <c r="X11" s="20">
        <v>15.0</v>
      </c>
      <c r="Y11" s="21">
        <v>0.0</v>
      </c>
    </row>
    <row r="12">
      <c r="C12" s="19" t="s">
        <v>33</v>
      </c>
      <c r="D12" s="20">
        <v>5.0</v>
      </c>
      <c r="E12" s="21">
        <v>0.0</v>
      </c>
      <c r="G12" s="19" t="s">
        <v>34</v>
      </c>
      <c r="H12" s="20">
        <v>10.0</v>
      </c>
      <c r="I12" s="21">
        <v>0.0</v>
      </c>
      <c r="K12" s="19" t="s">
        <v>35</v>
      </c>
      <c r="L12" s="20">
        <v>5.0</v>
      </c>
      <c r="M12" s="21">
        <v>0.0</v>
      </c>
      <c r="O12" s="19" t="s">
        <v>36</v>
      </c>
      <c r="P12" s="20">
        <v>15.0</v>
      </c>
      <c r="Q12" s="21">
        <v>0.0</v>
      </c>
      <c r="S12" s="19" t="s">
        <v>37</v>
      </c>
      <c r="T12" s="20">
        <v>10.0</v>
      </c>
      <c r="U12" s="21">
        <v>0.0</v>
      </c>
      <c r="W12" s="19" t="s">
        <v>38</v>
      </c>
      <c r="X12" s="20">
        <v>10.0</v>
      </c>
      <c r="Y12" s="21">
        <v>0.0</v>
      </c>
    </row>
    <row r="13">
      <c r="C13" s="19" t="s">
        <v>39</v>
      </c>
      <c r="D13" s="20">
        <v>10.0</v>
      </c>
      <c r="E13" s="21">
        <v>0.0</v>
      </c>
      <c r="G13" s="19" t="s">
        <v>40</v>
      </c>
      <c r="H13" s="20">
        <v>20.0</v>
      </c>
      <c r="I13" s="21">
        <v>0.0</v>
      </c>
      <c r="K13" s="19"/>
      <c r="L13" s="22"/>
      <c r="M13" s="21">
        <v>0.0</v>
      </c>
      <c r="O13" s="19" t="s">
        <v>41</v>
      </c>
      <c r="P13" s="20">
        <v>10.0</v>
      </c>
      <c r="Q13" s="21">
        <v>0.0</v>
      </c>
      <c r="S13" s="19" t="s">
        <v>42</v>
      </c>
      <c r="T13" s="22">
        <v>15.0</v>
      </c>
      <c r="U13" s="21">
        <v>0.0</v>
      </c>
      <c r="W13" s="19" t="s">
        <v>43</v>
      </c>
      <c r="X13" s="20">
        <v>25.0</v>
      </c>
      <c r="Y13" s="21">
        <v>0.0</v>
      </c>
    </row>
    <row r="14" ht="50.25" customHeight="1">
      <c r="C14" s="23" t="s">
        <v>44</v>
      </c>
      <c r="D14" s="24">
        <v>5.0</v>
      </c>
      <c r="E14" s="21">
        <v>100.0</v>
      </c>
      <c r="G14" s="25" t="s">
        <v>45</v>
      </c>
      <c r="H14" s="26">
        <v>30.0</v>
      </c>
      <c r="I14" s="21">
        <v>100.0</v>
      </c>
      <c r="K14" s="25" t="s">
        <v>46</v>
      </c>
      <c r="L14" s="24">
        <v>35.0</v>
      </c>
      <c r="M14" s="21">
        <v>100.0</v>
      </c>
      <c r="O14" s="25" t="s">
        <v>45</v>
      </c>
      <c r="P14" s="24">
        <v>40.0</v>
      </c>
      <c r="Q14" s="21">
        <v>100.0</v>
      </c>
      <c r="S14" s="25" t="s">
        <v>45</v>
      </c>
      <c r="T14" s="26">
        <v>30.0</v>
      </c>
      <c r="U14" s="21">
        <v>96.0</v>
      </c>
      <c r="W14" s="23" t="s">
        <v>47</v>
      </c>
      <c r="X14" s="26">
        <v>30.0</v>
      </c>
      <c r="Y14" s="21">
        <v>100.0</v>
      </c>
    </row>
    <row r="15">
      <c r="C15" s="27" t="s">
        <v>48</v>
      </c>
      <c r="D15" s="28"/>
      <c r="E15" s="29"/>
      <c r="G15" s="27" t="s">
        <v>48</v>
      </c>
      <c r="H15" s="28"/>
      <c r="I15" s="29"/>
      <c r="K15" s="27" t="s">
        <v>49</v>
      </c>
      <c r="L15" s="30"/>
      <c r="M15" s="31"/>
      <c r="O15" s="27" t="s">
        <v>48</v>
      </c>
      <c r="P15" s="28"/>
      <c r="Q15" s="29"/>
      <c r="S15" s="27" t="s">
        <v>48</v>
      </c>
      <c r="T15" s="28"/>
      <c r="U15" s="29"/>
      <c r="W15" s="27" t="s">
        <v>48</v>
      </c>
      <c r="X15" s="28"/>
      <c r="Y15" s="29"/>
    </row>
    <row r="16">
      <c r="C16" s="32" t="s">
        <v>50</v>
      </c>
      <c r="G16" s="32" t="s">
        <v>50</v>
      </c>
      <c r="K16" s="32" t="s">
        <v>50</v>
      </c>
      <c r="O16" s="32" t="s">
        <v>50</v>
      </c>
      <c r="S16" s="32" t="s">
        <v>50</v>
      </c>
      <c r="W16" s="32" t="s">
        <v>50</v>
      </c>
    </row>
    <row r="17" ht="1.5" customHeight="1">
      <c r="F17" s="18"/>
      <c r="J17" s="18"/>
      <c r="N17" s="18"/>
    </row>
    <row r="18" ht="15.0" customHeight="1">
      <c r="C18" s="33">
        <f>4*(D3/100)</f>
        <v>4</v>
      </c>
      <c r="F18" s="18"/>
      <c r="G18" s="33">
        <f>4*(H3/100)</f>
        <v>4</v>
      </c>
      <c r="J18" s="18"/>
      <c r="K18" s="33">
        <f>4*(L3/100)</f>
        <v>4</v>
      </c>
      <c r="N18" s="18"/>
      <c r="O18" s="33">
        <f>4*(P3/100)</f>
        <v>4</v>
      </c>
      <c r="S18" s="33">
        <f>4*(T3/100)</f>
        <v>3.9948</v>
      </c>
      <c r="W18" s="33">
        <f>4*(X3/100)</f>
        <v>4</v>
      </c>
    </row>
    <row r="19" ht="15.0" customHeight="1">
      <c r="F19" s="18"/>
      <c r="J19" s="18"/>
      <c r="N19" s="18"/>
    </row>
    <row r="20" ht="15.0" customHeight="1">
      <c r="F20" s="34"/>
      <c r="J20" s="34"/>
      <c r="N20" s="34"/>
      <c r="R20" s="34"/>
      <c r="V20" s="34"/>
    </row>
    <row r="21">
      <c r="C21" s="18"/>
      <c r="D21" s="34"/>
      <c r="E21" s="35"/>
      <c r="F21" s="35"/>
      <c r="G21" s="35"/>
      <c r="H21" s="36" t="s">
        <v>51</v>
      </c>
      <c r="V21" s="34"/>
      <c r="W21" s="34"/>
      <c r="X21" s="34"/>
    </row>
    <row r="22">
      <c r="C22" s="18"/>
      <c r="D22" s="18"/>
      <c r="E22" s="34"/>
      <c r="F22" s="35"/>
      <c r="G22" s="35"/>
      <c r="V22" s="34"/>
      <c r="W22" s="34"/>
      <c r="X22" s="34"/>
    </row>
    <row r="23">
      <c r="C23" s="18"/>
      <c r="D23" s="18"/>
      <c r="E23" s="18"/>
      <c r="F23" s="34"/>
      <c r="G23" s="35"/>
      <c r="V23" s="34"/>
      <c r="W23" s="34"/>
    </row>
    <row r="24">
      <c r="C24" s="18"/>
      <c r="D24" s="18"/>
      <c r="E24" s="18"/>
      <c r="F24" s="18"/>
      <c r="G24" s="34"/>
      <c r="V24" s="34"/>
    </row>
    <row r="25">
      <c r="C25" s="18"/>
      <c r="D25" s="18"/>
      <c r="E25" s="18"/>
      <c r="F25" s="18"/>
      <c r="G25" s="37" t="s">
        <v>52</v>
      </c>
      <c r="H25" s="38" t="s">
        <v>53</v>
      </c>
      <c r="O25" s="39" t="s">
        <v>54</v>
      </c>
    </row>
    <row r="26" ht="21.0" customHeight="1">
      <c r="C26" s="18"/>
      <c r="D26" s="18" t="s">
        <v>9</v>
      </c>
      <c r="E26" s="18"/>
      <c r="F26" s="18"/>
      <c r="G26" s="40">
        <v>2.28</v>
      </c>
    </row>
    <row r="27" ht="15.75" customHeight="1">
      <c r="C27" s="18"/>
      <c r="D27" s="18"/>
      <c r="E27" s="18"/>
      <c r="F27" s="18"/>
      <c r="G27" s="37" t="s">
        <v>55</v>
      </c>
      <c r="H27" s="41">
        <f>(C18+G18+K18+O18+S18++W18)/6</f>
        <v>3.999133333</v>
      </c>
      <c r="O27" s="42">
        <f>(G26+G28+G30+G32)/4</f>
        <v>2.854783333</v>
      </c>
      <c r="X27" s="16" t="s">
        <v>9</v>
      </c>
    </row>
    <row r="28" ht="15.75" customHeight="1">
      <c r="C28" s="18"/>
      <c r="D28" s="18"/>
      <c r="E28" s="18"/>
      <c r="F28" s="18"/>
      <c r="G28" s="40">
        <v>2.14</v>
      </c>
    </row>
    <row r="29" ht="15.75" customHeight="1">
      <c r="C29" s="18"/>
      <c r="D29" s="18"/>
      <c r="E29" s="18" t="s">
        <v>9</v>
      </c>
      <c r="F29" s="18"/>
      <c r="G29" s="43" t="s">
        <v>56</v>
      </c>
    </row>
    <row r="30" ht="15.75" customHeight="1">
      <c r="C30" s="18"/>
      <c r="D30" s="18"/>
      <c r="E30" s="18"/>
      <c r="F30" s="18"/>
      <c r="G30" s="40">
        <v>3.0</v>
      </c>
    </row>
    <row r="31" ht="15.75" customHeight="1">
      <c r="C31" s="18"/>
      <c r="D31" s="18"/>
      <c r="E31" s="18"/>
      <c r="F31" s="18"/>
      <c r="G31" s="44" t="s">
        <v>57</v>
      </c>
    </row>
    <row r="32" ht="15.75" customHeight="1">
      <c r="C32" s="18"/>
      <c r="D32" s="18"/>
      <c r="E32" s="18"/>
      <c r="F32" s="18"/>
      <c r="G32" s="45">
        <f>(D1+H1+L1+P1+T1+X1)/18</f>
        <v>3.999133333</v>
      </c>
    </row>
    <row r="33" ht="15.75" customHeight="1">
      <c r="C33" s="18"/>
      <c r="D33" s="18"/>
      <c r="E33" s="18"/>
      <c r="F33" s="18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>
      <c r="A197" s="16">
        <v>100.0</v>
      </c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46">
    <mergeCell ref="K18:M20"/>
    <mergeCell ref="O18:Q20"/>
    <mergeCell ref="S18:U20"/>
    <mergeCell ref="H21:U24"/>
    <mergeCell ref="H25:N26"/>
    <mergeCell ref="O25:U26"/>
    <mergeCell ref="H27:N32"/>
    <mergeCell ref="O27:U32"/>
    <mergeCell ref="C15:E15"/>
    <mergeCell ref="G15:I15"/>
    <mergeCell ref="S15:U15"/>
    <mergeCell ref="C16:E17"/>
    <mergeCell ref="K16:M17"/>
    <mergeCell ref="S16:U17"/>
    <mergeCell ref="C18:E20"/>
    <mergeCell ref="U3:U4"/>
    <mergeCell ref="W3:W4"/>
    <mergeCell ref="X3:X4"/>
    <mergeCell ref="Y3:Y4"/>
    <mergeCell ref="L3:L4"/>
    <mergeCell ref="M3:M4"/>
    <mergeCell ref="O3:O4"/>
    <mergeCell ref="P3:P4"/>
    <mergeCell ref="Q3:Q4"/>
    <mergeCell ref="S3:S4"/>
    <mergeCell ref="T3:T4"/>
    <mergeCell ref="C5:E7"/>
    <mergeCell ref="G5:I7"/>
    <mergeCell ref="K5:M7"/>
    <mergeCell ref="O5:Q7"/>
    <mergeCell ref="S5:U7"/>
    <mergeCell ref="W5:Y7"/>
    <mergeCell ref="C3:C4"/>
    <mergeCell ref="D3:D4"/>
    <mergeCell ref="E3:E4"/>
    <mergeCell ref="G3:G4"/>
    <mergeCell ref="H3:H4"/>
    <mergeCell ref="I3:I4"/>
    <mergeCell ref="K3:K4"/>
    <mergeCell ref="O15:Q15"/>
    <mergeCell ref="O16:Q17"/>
    <mergeCell ref="W15:Y15"/>
    <mergeCell ref="W16:Y17"/>
    <mergeCell ref="W18:Y20"/>
    <mergeCell ref="G16:I17"/>
    <mergeCell ref="G18:I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7" t="s">
        <v>58</v>
      </c>
      <c r="D6" s="48">
        <v>8.0</v>
      </c>
      <c r="E6" s="48">
        <v>9.0</v>
      </c>
      <c r="F6" s="48">
        <v>10.0</v>
      </c>
      <c r="G6" s="48">
        <v>11.0</v>
      </c>
      <c r="H6" s="48">
        <v>12.0</v>
      </c>
      <c r="I6" s="48">
        <v>1.0</v>
      </c>
      <c r="J6" s="48">
        <v>2.0</v>
      </c>
      <c r="K6" s="48">
        <v>3.0</v>
      </c>
      <c r="L6" s="48">
        <v>4.0</v>
      </c>
      <c r="M6" s="48">
        <v>5.0</v>
      </c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9" t="s">
        <v>59</v>
      </c>
      <c r="D10" s="50" t="s">
        <v>60</v>
      </c>
      <c r="J10" s="51" t="s">
        <v>61</v>
      </c>
      <c r="M10" s="50" t="s">
        <v>60</v>
      </c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>
      <c r="A15" s="49" t="s">
        <v>62</v>
      </c>
      <c r="D15" s="50" t="s">
        <v>60</v>
      </c>
      <c r="G15" s="52" t="s">
        <v>63</v>
      </c>
      <c r="I15" s="50" t="s">
        <v>60</v>
      </c>
      <c r="J15" s="53" t="s">
        <v>64</v>
      </c>
      <c r="M15" s="50" t="s">
        <v>60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9" t="s">
        <v>65</v>
      </c>
      <c r="D20" s="54" t="s">
        <v>66</v>
      </c>
      <c r="G20" s="55" t="s">
        <v>63</v>
      </c>
      <c r="H20" s="50" t="s">
        <v>60</v>
      </c>
      <c r="J20" s="56" t="s">
        <v>67</v>
      </c>
      <c r="L20" s="50" t="s">
        <v>60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>
      <c r="A25" s="49" t="s">
        <v>68</v>
      </c>
      <c r="D25" s="56" t="s">
        <v>67</v>
      </c>
      <c r="F25" s="50" t="s">
        <v>69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9" t="s">
        <v>70</v>
      </c>
      <c r="D30" s="57" t="s">
        <v>71</v>
      </c>
      <c r="F30" s="46"/>
      <c r="G30" s="58" t="s">
        <v>71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0">
    <mergeCell ref="L30:L34"/>
    <mergeCell ref="M30:M34"/>
    <mergeCell ref="A25:C29"/>
    <mergeCell ref="D25:E29"/>
    <mergeCell ref="F25:M29"/>
    <mergeCell ref="A30:C34"/>
    <mergeCell ref="D30:E34"/>
    <mergeCell ref="F30:F34"/>
    <mergeCell ref="G30:G34"/>
    <mergeCell ref="J6:J9"/>
    <mergeCell ref="K6:K9"/>
    <mergeCell ref="L6:L9"/>
    <mergeCell ref="M6:M9"/>
    <mergeCell ref="A6:C9"/>
    <mergeCell ref="D6:D9"/>
    <mergeCell ref="E6:E9"/>
    <mergeCell ref="F6:F9"/>
    <mergeCell ref="G6:G9"/>
    <mergeCell ref="H6:H9"/>
    <mergeCell ref="I6:I9"/>
    <mergeCell ref="I15:I19"/>
    <mergeCell ref="J15:L19"/>
    <mergeCell ref="A10:C14"/>
    <mergeCell ref="D10:I14"/>
    <mergeCell ref="J10:L14"/>
    <mergeCell ref="M10:M14"/>
    <mergeCell ref="D15:F19"/>
    <mergeCell ref="G15:H19"/>
    <mergeCell ref="M15:M19"/>
    <mergeCell ref="A15:C19"/>
    <mergeCell ref="A20:C24"/>
    <mergeCell ref="D20:F24"/>
    <mergeCell ref="G20:G24"/>
    <mergeCell ref="H20:I24"/>
    <mergeCell ref="J20:K24"/>
    <mergeCell ref="L20:M24"/>
    <mergeCell ref="H30:H34"/>
    <mergeCell ref="I30:I34"/>
    <mergeCell ref="J30:J34"/>
    <mergeCell ref="K30:K3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2025-04-09T21:52:51Z</dcterms:created>
  <dc:creator>User</dc:creator>
</cp:coreProperties>
</file>