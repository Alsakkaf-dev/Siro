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xDXwyABgWr24vQfWtsj6xUw7pJUqXnI6bgHueWM9zE="/>
    </ext>
  </extLst>
</workbook>
</file>

<file path=xl/sharedStrings.xml><?xml version="1.0" encoding="utf-8"?>
<sst xmlns="http://schemas.openxmlformats.org/spreadsheetml/2006/main" count="60" uniqueCount="14">
  <si>
    <t>MS</t>
  </si>
  <si>
    <t>BEFORE</t>
  </si>
  <si>
    <t>NOW</t>
  </si>
  <si>
    <t>DB</t>
  </si>
  <si>
    <t>DG</t>
  </si>
  <si>
    <t>FPS</t>
  </si>
  <si>
    <t xml:space="preserve"> </t>
  </si>
  <si>
    <t>PAST</t>
  </si>
  <si>
    <t>NEW</t>
  </si>
  <si>
    <t>Chapter NO</t>
  </si>
  <si>
    <t>Need</t>
  </si>
  <si>
    <t>Done</t>
  </si>
  <si>
    <t xml:space="preserve">  </t>
  </si>
  <si>
    <t>SQL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</si>
</sst>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b/>
      <sz val="72.0"/>
      <color theme="0"/>
      <name val="Calibri"/>
    </font>
    <font/>
    <font>
      <b/>
      <sz val="28.0"/>
      <color theme="0"/>
      <name val="Calibri"/>
    </font>
    <font>
      <color theme="1"/>
      <name val="Calibri"/>
      <scheme val="minor"/>
    </font>
    <font>
      <b/>
      <i/>
      <u/>
      <sz val="48.0"/>
      <color rgb="FFC55A11"/>
      <name val="Calibri"/>
    </font>
    <font>
      <b/>
      <i/>
      <u/>
      <sz val="48.0"/>
      <color rgb="FF00B050"/>
      <name val="Calibri"/>
    </font>
    <font>
      <sz val="48.0"/>
      <color rgb="FFFF0000"/>
      <name val="Calibri"/>
    </font>
    <font>
      <sz val="11.0"/>
      <color theme="1"/>
      <name val="Calibri"/>
    </font>
    <font>
      <sz val="72.0"/>
      <color theme="0"/>
      <name val="Calibri"/>
    </font>
    <font>
      <b/>
      <sz val="140.0"/>
      <color rgb="FFC55A11"/>
      <name val="Calibri"/>
    </font>
    <font>
      <b/>
      <sz val="140.0"/>
      <color rgb="FF548135"/>
      <name val="Calibri"/>
    </font>
    <font>
      <b/>
      <u/>
      <sz val="36.0"/>
      <color theme="0"/>
      <name val="Calibri"/>
    </font>
    <font>
      <sz val="48.0"/>
      <color theme="0"/>
      <name val="Calibri"/>
    </font>
    <font>
      <sz val="48.0"/>
      <color theme="1"/>
      <name val="Calibri"/>
    </font>
    <font>
      <b/>
      <sz val="72.0"/>
      <color rgb="FFFFFFFF"/>
      <name val="Calibri"/>
    </font>
    <font>
      <sz val="48.0"/>
      <color rgb="FFFFFFFF"/>
      <name val="Calibri"/>
    </font>
    <font>
      <sz val="24.0"/>
      <color rgb="FFFFFFFF"/>
      <name val="Calibri"/>
    </font>
    <font>
      <b/>
      <sz val="27.0"/>
      <color theme="1"/>
      <name val="Calibri"/>
      <scheme val="minor"/>
    </font>
    <font>
      <b/>
      <sz val="72.0"/>
      <color theme="1"/>
      <name val="Calibri"/>
    </font>
    <font>
      <sz val="48.0"/>
      <color rgb="FFF4B083"/>
      <name val="Calibri"/>
    </font>
    <font>
      <sz val="24.0"/>
      <color theme="1"/>
      <name val="Calibri"/>
    </font>
    <font>
      <sz val="48.0"/>
      <color rgb="FF00B050"/>
      <name val="Calibri"/>
    </font>
    <font>
      <sz val="48.0"/>
      <color rgb="FF833C0B"/>
      <name val="Calibri"/>
    </font>
    <font>
      <b/>
      <sz val="23.0"/>
      <color theme="1"/>
      <name val="Calibri"/>
      <scheme val="minor"/>
    </font>
    <font>
      <sz val="28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BF9000"/>
        <bgColor rgb="FFBF9000"/>
      </patternFill>
    </fill>
    <fill>
      <patternFill patternType="solid">
        <fgColor rgb="FF92D050"/>
        <bgColor rgb="FF92D050"/>
      </patternFill>
    </fill>
    <fill>
      <patternFill patternType="solid">
        <fgColor rgb="FF7030A0"/>
        <bgColor rgb="FF7030A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ECECEC"/>
        <bgColor rgb="FFECECEC"/>
      </patternFill>
    </fill>
    <fill>
      <patternFill patternType="solid">
        <fgColor theme="1"/>
        <bgColor theme="1"/>
      </patternFill>
    </fill>
    <fill>
      <patternFill patternType="solid">
        <fgColor rgb="FFC55A11"/>
        <bgColor rgb="FFC55A11"/>
      </patternFill>
    </fill>
    <fill>
      <patternFill patternType="solid">
        <fgColor rgb="FF7F6000"/>
        <bgColor rgb="FF7F6000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</fills>
  <borders count="12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right/>
      <bottom/>
    </border>
    <border>
      <bottom/>
    </border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0" fillId="0" fontId="4" numFmtId="0" xfId="0" applyFont="1"/>
    <xf borderId="6" fillId="0" fontId="2" numFmtId="0" xfId="0" applyBorder="1" applyFont="1"/>
    <xf borderId="7" fillId="0" fontId="2" numFmtId="0" xfId="0" applyBorder="1" applyFont="1"/>
    <xf borderId="1" fillId="8" fontId="5" numFmtId="0" xfId="0" applyAlignment="1" applyBorder="1" applyFill="1" applyFont="1">
      <alignment horizontal="center" vertical="center"/>
    </xf>
    <xf borderId="1" fillId="9" fontId="6" numFmtId="0" xfId="0" applyAlignment="1" applyBorder="1" applyFill="1" applyFont="1">
      <alignment horizontal="center" vertical="center"/>
    </xf>
    <xf borderId="1" fillId="10" fontId="7" numFmtId="0" xfId="0" applyAlignment="1" applyBorder="1" applyFill="1" applyFont="1">
      <alignment horizontal="center" vertical="center"/>
    </xf>
    <xf borderId="8" fillId="0" fontId="2" numFmtId="0" xfId="0" applyBorder="1" applyFont="1"/>
    <xf borderId="0" fillId="0" fontId="8" numFmtId="0" xfId="0" applyAlignment="1" applyFont="1">
      <alignment horizontal="center"/>
    </xf>
    <xf borderId="1" fillId="3" fontId="9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1" fillId="4" fontId="9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1" fillId="11" fontId="12" numFmtId="0" xfId="0" applyAlignment="1" applyBorder="1" applyFill="1" applyFont="1">
      <alignment horizontal="center" vertical="center"/>
    </xf>
    <xf borderId="9" fillId="12" fontId="13" numFmtId="0" xfId="0" applyAlignment="1" applyBorder="1" applyFill="1" applyFont="1">
      <alignment horizontal="center" vertical="center"/>
    </xf>
    <xf borderId="0" fillId="0" fontId="14" numFmtId="0" xfId="0" applyAlignment="1" applyFont="1">
      <alignment vertical="center"/>
    </xf>
    <xf borderId="9" fillId="7" fontId="13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" fillId="13" fontId="15" numFmtId="0" xfId="0" applyAlignment="1" applyBorder="1" applyFill="1" applyFont="1">
      <alignment horizontal="center" vertical="center"/>
    </xf>
    <xf borderId="0" fillId="13" fontId="16" numFmtId="0" xfId="0" applyAlignment="1" applyFont="1">
      <alignment horizontal="center" readingOrder="0" vertical="center"/>
    </xf>
    <xf borderId="0" fillId="13" fontId="17" numFmtId="0" xfId="0" applyAlignment="1" applyFont="1">
      <alignment horizontal="center" vertical="center"/>
    </xf>
    <xf borderId="0" fillId="0" fontId="18" numFmtId="0" xfId="0" applyAlignment="1" applyFont="1">
      <alignment horizontal="center" readingOrder="0" vertical="center"/>
    </xf>
    <xf borderId="1" fillId="6" fontId="15" numFmtId="0" xfId="0" applyAlignment="1" applyBorder="1" applyFont="1">
      <alignment horizontal="center" vertical="center"/>
    </xf>
    <xf borderId="0" fillId="6" fontId="16" numFmtId="0" xfId="0" applyAlignment="1" applyFont="1">
      <alignment horizontal="center" vertical="center"/>
    </xf>
    <xf borderId="0" fillId="6" fontId="17" numFmtId="0" xfId="0" applyAlignment="1" applyFont="1">
      <alignment horizontal="center" vertical="center"/>
    </xf>
    <xf borderId="0" fillId="6" fontId="16" numFmtId="0" xfId="0" applyAlignment="1" applyFont="1">
      <alignment horizontal="center" readingOrder="0" vertical="center"/>
    </xf>
    <xf borderId="1" fillId="14" fontId="19" numFmtId="0" xfId="0" applyAlignment="1" applyBorder="1" applyFill="1" applyFont="1">
      <alignment horizontal="center" vertical="center"/>
    </xf>
    <xf borderId="0" fillId="15" fontId="20" numFmtId="0" xfId="0" applyAlignment="1" applyFill="1" applyFont="1">
      <alignment horizontal="center" vertical="center"/>
    </xf>
    <xf borderId="0" fillId="15" fontId="21" numFmtId="0" xfId="0" applyAlignment="1" applyFont="1">
      <alignment horizontal="center" vertical="center"/>
    </xf>
    <xf borderId="0" fillId="15" fontId="22" numFmtId="0" xfId="0" applyAlignment="1" applyFont="1">
      <alignment horizontal="center" readingOrder="0" vertical="center"/>
    </xf>
    <xf borderId="0" fillId="0" fontId="19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22" numFmtId="0" xfId="0" applyAlignment="1" applyFont="1">
      <alignment horizontal="center" readingOrder="0" vertical="center"/>
    </xf>
    <xf borderId="0" fillId="0" fontId="22" numFmtId="0" xfId="0" applyAlignment="1" applyFont="1">
      <alignment horizontal="center" vertical="center"/>
    </xf>
    <xf borderId="1" fillId="9" fontId="19" numFmtId="0" xfId="0" applyAlignment="1" applyBorder="1" applyFont="1">
      <alignment horizontal="center" vertical="center"/>
    </xf>
    <xf borderId="0" fillId="0" fontId="23" numFmtId="0" xfId="0" applyAlignment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0" fontId="24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19" numFmtId="0" xfId="0" applyAlignment="1" applyFont="1">
      <alignment vertical="center"/>
    </xf>
    <xf borderId="0" fillId="0" fontId="20" numFmtId="0" xfId="0" applyAlignment="1" applyFont="1">
      <alignment vertical="center"/>
    </xf>
    <xf borderId="0" fillId="0" fontId="8" numFmtId="0" xfId="0" applyFont="1"/>
    <xf borderId="0" fillId="0" fontId="23" numFmtId="0" xfId="0" applyAlignment="1" applyFont="1">
      <alignment horizontal="center" vertical="center"/>
    </xf>
    <xf borderId="1" fillId="9" fontId="19" numFmtId="0" xfId="0" applyAlignment="1" applyBorder="1" applyFont="1">
      <alignment horizontal="center" readingOrder="0" vertical="center"/>
    </xf>
    <xf borderId="0" fillId="0" fontId="19" numFmtId="0" xfId="0" applyAlignment="1" applyFont="1">
      <alignment readingOrder="0" vertical="center"/>
    </xf>
    <xf borderId="0" fillId="0" fontId="25" numFmtId="0" xfId="0" applyAlignment="1" applyFont="1">
      <alignment horizontal="center" vertical="center"/>
    </xf>
    <xf borderId="0" fillId="0" fontId="25" numFmtId="0" xfId="0" applyAlignment="1" applyFont="1">
      <alignment vertical="center"/>
    </xf>
    <xf borderId="0" fillId="0" fontId="23" numFmtId="0" xfId="0" applyAlignment="1" applyFont="1">
      <alignment vertical="center"/>
    </xf>
    <xf borderId="0" fillId="0" fontId="23" numFmtId="0" xfId="0" applyAlignment="1" applyFont="1">
      <alignment vertical="center"/>
    </xf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4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  <tableStyle count="3" pivot="0" name="Sheet1-style 3">
      <tableStyleElement dxfId="1" type="headerRow"/>
      <tableStyleElement dxfId="2" type="firstRowStripe"/>
      <tableStyleElement dxfId="3" type="secondRowStripe"/>
    </tableStyle>
    <tableStyle count="3" pivot="0" name="Sheet1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PAST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6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Linear (PAST)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Sheet1!$J$107</c:f>
              <c:numCache/>
            </c:numRef>
          </c:val>
        </c:ser>
        <c:ser>
          <c:idx val="1"/>
          <c:order val="1"/>
          <c:tx>
            <c:v>NEW</c:v>
          </c:tx>
          <c:spPr>
            <a:solidFill>
              <a:srgbClr val="00B050">
                <a:alpha val="84705"/>
              </a:srgb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6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Sheet1!$K$107</c:f>
              <c:numCache/>
            </c:numRef>
          </c:val>
        </c:ser>
        <c:axId val="1699878091"/>
        <c:axId val="1519558932"/>
      </c:barChart>
      <c:catAx>
        <c:axId val="16998780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519558932"/>
      </c:catAx>
      <c:valAx>
        <c:axId val="15195589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699878091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PAST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38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Sheet1!$E$108</c:f>
              <c:numCache/>
            </c:numRef>
          </c:val>
        </c:ser>
        <c:ser>
          <c:idx val="1"/>
          <c:order val="1"/>
          <c:tx>
            <c:v>NEW</c:v>
          </c:tx>
          <c:spPr>
            <a:solidFill>
              <a:srgbClr val="00B050">
                <a:alpha val="84705"/>
              </a:srgbClr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sz="9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166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Sheet1!$F$108</c:f>
              <c:numCache/>
            </c:numRef>
          </c:val>
        </c:ser>
        <c:axId val="1449939229"/>
        <c:axId val="1495668315"/>
      </c:barChart>
      <c:catAx>
        <c:axId val="14499392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495668315"/>
      </c:catAx>
      <c:valAx>
        <c:axId val="14956683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449939229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00B050">
                  <a:alpha val="84705"/>
                </a:srgbClr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166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Sheet1!$Q$106:$R$106</c:f>
            </c:strRef>
          </c:cat>
          <c:val>
            <c:numRef>
              <c:f>Sheet1!$Q$107:$R$107</c:f>
              <c:numCache/>
            </c:numRef>
          </c:val>
        </c:ser>
        <c:axId val="1036486401"/>
        <c:axId val="630099816"/>
      </c:barChart>
      <c:catAx>
        <c:axId val="10364864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630099816"/>
      </c:catAx>
      <c:valAx>
        <c:axId val="6300998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036486401"/>
        <c:crosses val="max"/>
      </c:valAx>
    </c:plotArea>
    <c:plotVisOnly val="1"/>
  </c:chart>
  <c:spPr>
    <a:solidFill>
      <a:schemeClr val="lt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rgbClr val="00B050">
                <a:alpha val="84705"/>
              </a:srgbClr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166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Sheet1!$Z$107:$AA$107</c:f>
            </c:strRef>
          </c:cat>
          <c:val>
            <c:numRef>
              <c:f>Sheet1!$Z$108:$AA$108</c:f>
              <c:numCache/>
            </c:numRef>
          </c:val>
        </c:ser>
        <c:axId val="1098474425"/>
        <c:axId val="909052146"/>
      </c:barChart>
      <c:catAx>
        <c:axId val="10984744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909052146"/>
      </c:catAx>
      <c:valAx>
        <c:axId val="9090521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098474425"/>
        <c:crosses val="max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image" Target="../media/image2.png"/><Relationship Id="rId5" Type="http://schemas.openxmlformats.org/officeDocument/2006/relationships/image" Target="../media/image3.png"/><Relationship Id="rId6" Type="http://schemas.openxmlformats.org/officeDocument/2006/relationships/image" Target="../media/image1.png"/><Relationship Id="rId7" Type="http://schemas.openxmlformats.org/officeDocument/2006/relationships/image" Target="../media/image5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428625</xdr:colOff>
      <xdr:row>5</xdr:row>
      <xdr:rowOff>257175</xdr:rowOff>
    </xdr:from>
    <xdr:ext cx="16659225" cy="15230475"/>
    <xdr:graphicFrame>
      <xdr:nvGraphicFramePr>
        <xdr:cNvPr id="1413855673" name="Chart 1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7</xdr:row>
      <xdr:rowOff>123825</xdr:rowOff>
    </xdr:from>
    <xdr:ext cx="15821025" cy="14649450"/>
    <xdr:graphicFrame>
      <xdr:nvGraphicFramePr>
        <xdr:cNvPr id="1757760726" name="Chart 2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352425</xdr:colOff>
      <xdr:row>6</xdr:row>
      <xdr:rowOff>381000</xdr:rowOff>
    </xdr:from>
    <xdr:ext cx="16421100" cy="14801850"/>
    <xdr:graphicFrame>
      <xdr:nvGraphicFramePr>
        <xdr:cNvPr id="423299019" name="Chart 3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23</xdr:col>
      <xdr:colOff>371475</xdr:colOff>
      <xdr:row>7</xdr:row>
      <xdr:rowOff>123825</xdr:rowOff>
    </xdr:from>
    <xdr:ext cx="16754475" cy="14601825"/>
    <xdr:graphicFrame>
      <xdr:nvGraphicFramePr>
        <xdr:cNvPr id="405394444" name="Chart 4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24</xdr:col>
      <xdr:colOff>19050</xdr:colOff>
      <xdr:row>0</xdr:row>
      <xdr:rowOff>0</xdr:rowOff>
    </xdr:from>
    <xdr:ext cx="15973425" cy="21812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19050</xdr:rowOff>
    </xdr:from>
    <xdr:ext cx="16306800" cy="200977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514350</xdr:colOff>
      <xdr:row>0</xdr:row>
      <xdr:rowOff>0</xdr:rowOff>
    </xdr:from>
    <xdr:ext cx="16573500" cy="2047875"/>
    <xdr:pic>
      <xdr:nvPicPr>
        <xdr:cNvPr id="0" name="image5.png" title="صورة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811500" cy="2047875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110</xdr:row>
      <xdr:rowOff>0</xdr:rowOff>
    </xdr:from>
    <xdr:ext cx="3067050" cy="1295400"/>
    <xdr:pic>
      <xdr:nvPicPr>
        <xdr:cNvPr id="0" name="image2.png" title="صورة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102</xdr:row>
      <xdr:rowOff>38100</xdr:rowOff>
    </xdr:from>
    <xdr:ext cx="72494775" cy="7172325"/>
    <xdr:pic>
      <xdr:nvPicPr>
        <xdr:cNvPr id="0" name="image4.png" title="صورة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J106:K107" displayName="Table_1" name="Table_1" id="1">
  <tableColumns count="2">
    <tableColumn name="PAST" id="1"/>
    <tableColumn name="NEW" id="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Q106:R107" displayName="Table_2" name="Table_2" id="2">
  <tableColumns count="2">
    <tableColumn name="PAST" id="1"/>
    <tableColumn name="NEW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E107:F108" displayName="Table_3" name="Table_3" id="3">
  <tableColumns count="2">
    <tableColumn name="PAST" id="1"/>
    <tableColumn name="NEW" id="2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Z107:AA108" displayName="Table_4" name="Table_4" id="4">
  <tableColumns count="2">
    <tableColumn name="PAST" id="1"/>
    <tableColumn name="NEW" id="2"/>
  </tableColumns>
  <tableStyleInfo name="Sheet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35.14"/>
    <col customWidth="1" min="6" max="6" width="8.71"/>
    <col customWidth="1" min="7" max="7" width="157.43"/>
    <col customWidth="1" min="8" max="9" width="8.71"/>
    <col customWidth="1" min="10" max="10" width="18.0"/>
    <col customWidth="1" min="11" max="12" width="8.71"/>
    <col customWidth="1" min="13" max="13" width="35.14"/>
    <col customWidth="1" min="14" max="14" width="8.71"/>
    <col customWidth="1" min="15" max="15" width="160.57"/>
    <col customWidth="1" min="16" max="16" width="8.71"/>
    <col customWidth="1" min="17" max="17" width="13.0"/>
    <col customWidth="1" min="18" max="20" width="8.71"/>
    <col customWidth="1" min="21" max="21" width="34.14"/>
    <col customWidth="1" min="22" max="22" width="8.71"/>
    <col customWidth="1" min="23" max="23" width="161.14"/>
    <col customWidth="1" min="24" max="25" width="8.71"/>
    <col customWidth="1" min="26" max="26" width="18.0"/>
    <col customWidth="1" min="27" max="28" width="8.71"/>
    <col customWidth="1" min="29" max="29" width="35.0"/>
    <col customWidth="1" min="30" max="30" width="8.71"/>
    <col customWidth="1" min="31" max="31" width="161.0"/>
    <col customWidth="1" min="32" max="32" width="8.71"/>
    <col customWidth="1" min="33" max="33" width="26.43"/>
    <col customWidth="1" min="34" max="34" width="20.43"/>
    <col customWidth="1" min="35" max="35" width="23.0"/>
    <col customWidth="1" min="36" max="36" width="23.71"/>
    <col customWidth="1" min="37" max="37" width="17.57"/>
    <col customWidth="1" min="38" max="38" width="20.43"/>
    <col customWidth="1" min="39" max="39" width="23.0"/>
    <col customWidth="1" min="40" max="40" width="23.71"/>
    <col customWidth="1" min="41" max="41" width="17.57"/>
    <col customWidth="1" min="42" max="43" width="20.43"/>
    <col customWidth="1" min="44" max="44" width="23.0"/>
    <col customWidth="1" min="45" max="45" width="23.71"/>
    <col customWidth="1" min="46" max="46" width="17.57"/>
    <col customWidth="1" min="47" max="47" width="20.43"/>
    <col customWidth="1" min="48" max="48" width="23.0"/>
    <col customWidth="1" min="49" max="59" width="8.71"/>
  </cols>
  <sheetData>
    <row r="1">
      <c r="A1" s="1" t="s">
        <v>0</v>
      </c>
      <c r="B1" s="2"/>
      <c r="C1" s="3"/>
      <c r="D1" s="4" t="s">
        <v>1</v>
      </c>
      <c r="E1" s="3"/>
      <c r="F1" s="5" t="s">
        <v>2</v>
      </c>
      <c r="G1" s="3"/>
      <c r="I1" s="6" t="s">
        <v>3</v>
      </c>
      <c r="J1" s="2"/>
      <c r="K1" s="3"/>
      <c r="L1" s="4" t="s">
        <v>1</v>
      </c>
      <c r="M1" s="3"/>
      <c r="N1" s="5" t="s">
        <v>2</v>
      </c>
      <c r="O1" s="3"/>
      <c r="Q1" s="7" t="s">
        <v>4</v>
      </c>
      <c r="R1" s="2"/>
      <c r="S1" s="3"/>
      <c r="T1" s="4" t="s">
        <v>1</v>
      </c>
      <c r="U1" s="3"/>
      <c r="V1" s="5" t="s">
        <v>2</v>
      </c>
      <c r="W1" s="3"/>
      <c r="Y1" s="8" t="s">
        <v>5</v>
      </c>
      <c r="Z1" s="2"/>
      <c r="AA1" s="3"/>
      <c r="AB1" s="4" t="s">
        <v>1</v>
      </c>
      <c r="AC1" s="3"/>
      <c r="AD1" s="5" t="s">
        <v>2</v>
      </c>
      <c r="AE1" s="3"/>
    </row>
    <row r="2" ht="15.0" customHeight="1">
      <c r="A2" s="9"/>
      <c r="C2" s="10"/>
      <c r="D2" s="9"/>
      <c r="E2" s="10"/>
      <c r="F2" s="9"/>
      <c r="G2" s="10"/>
      <c r="I2" s="9"/>
      <c r="K2" s="10"/>
      <c r="L2" s="9"/>
      <c r="M2" s="10"/>
      <c r="N2" s="9"/>
      <c r="O2" s="10"/>
      <c r="Q2" s="9"/>
      <c r="S2" s="10"/>
      <c r="T2" s="9"/>
      <c r="U2" s="10"/>
      <c r="V2" s="9"/>
      <c r="W2" s="10"/>
      <c r="Y2" s="9"/>
      <c r="AA2" s="10"/>
      <c r="AB2" s="9"/>
      <c r="AC2" s="10"/>
      <c r="AD2" s="9"/>
      <c r="AE2" s="10"/>
      <c r="AG2" s="11" t="s">
        <v>0</v>
      </c>
    </row>
    <row r="3" ht="15.0" customHeight="1">
      <c r="A3" s="9"/>
      <c r="C3" s="10"/>
      <c r="D3" s="12"/>
      <c r="E3" s="13"/>
      <c r="F3" s="12"/>
      <c r="G3" s="13"/>
      <c r="I3" s="9"/>
      <c r="K3" s="10"/>
      <c r="L3" s="12"/>
      <c r="M3" s="13"/>
      <c r="N3" s="12"/>
      <c r="O3" s="13"/>
      <c r="Q3" s="9"/>
      <c r="S3" s="10"/>
      <c r="T3" s="12"/>
      <c r="U3" s="13"/>
      <c r="V3" s="12"/>
      <c r="W3" s="13"/>
      <c r="Y3" s="9"/>
      <c r="AA3" s="10"/>
      <c r="AB3" s="12"/>
      <c r="AC3" s="13"/>
      <c r="AD3" s="12"/>
      <c r="AE3" s="13"/>
    </row>
    <row r="4" ht="42.75" customHeight="1">
      <c r="A4" s="9"/>
      <c r="C4" s="10"/>
      <c r="D4" s="14">
        <f>SUM(E63:E72)</f>
        <v>353</v>
      </c>
      <c r="E4" s="3"/>
      <c r="F4" s="15">
        <f>SUM(E78:E98)</f>
        <v>209</v>
      </c>
      <c r="G4" s="3"/>
      <c r="I4" s="9"/>
      <c r="K4" s="10"/>
      <c r="L4" s="14">
        <f>SUM(M63:M77)</f>
        <v>172</v>
      </c>
      <c r="M4" s="3"/>
      <c r="N4" s="15">
        <f>SUM(M83:M92)</f>
        <v>107</v>
      </c>
      <c r="O4" s="3"/>
      <c r="Q4" s="9"/>
      <c r="S4" s="10"/>
      <c r="T4" s="14">
        <f>SUM(U63:U77)</f>
        <v>98</v>
      </c>
      <c r="U4" s="3"/>
      <c r="V4" s="15">
        <f>SUM(U83)</f>
        <v>25</v>
      </c>
      <c r="W4" s="3"/>
      <c r="Y4" s="9"/>
      <c r="AA4" s="10"/>
      <c r="AB4" s="14">
        <f>SUM(AC63:AC77)</f>
        <v>191</v>
      </c>
      <c r="AC4" s="3"/>
      <c r="AD4" s="15">
        <f>SUM(AC83:AC92)</f>
        <v>110</v>
      </c>
      <c r="AE4" s="3"/>
    </row>
    <row r="5" ht="15.0" customHeight="1">
      <c r="A5" s="9"/>
      <c r="C5" s="10"/>
      <c r="D5" s="12"/>
      <c r="E5" s="13"/>
      <c r="F5" s="12"/>
      <c r="G5" s="13"/>
      <c r="I5" s="9"/>
      <c r="K5" s="10"/>
      <c r="L5" s="12"/>
      <c r="M5" s="13"/>
      <c r="N5" s="12"/>
      <c r="O5" s="13"/>
      <c r="Q5" s="9"/>
      <c r="S5" s="10"/>
      <c r="T5" s="12"/>
      <c r="U5" s="13"/>
      <c r="V5" s="12"/>
      <c r="W5" s="13"/>
      <c r="Y5" s="9"/>
      <c r="AA5" s="10"/>
      <c r="AB5" s="12"/>
      <c r="AC5" s="13"/>
      <c r="AD5" s="12"/>
      <c r="AE5" s="13"/>
    </row>
    <row r="6" ht="24.75" customHeight="1">
      <c r="A6" s="9"/>
      <c r="C6" s="10"/>
      <c r="D6" s="16">
        <f>SUM(G63:G72)</f>
        <v>24</v>
      </c>
      <c r="E6" s="3"/>
      <c r="F6" s="16">
        <f>SUM(G78:G98)</f>
        <v>57</v>
      </c>
      <c r="G6" s="3"/>
      <c r="I6" s="9"/>
      <c r="K6" s="10"/>
      <c r="L6" s="16">
        <f>SUM(O63:O77)+O98+O93+O88+O83</f>
        <v>66</v>
      </c>
      <c r="M6" s="3"/>
      <c r="N6" s="16">
        <f>SUM(O83:O92)</f>
        <v>4</v>
      </c>
      <c r="O6" s="3"/>
      <c r="Q6" s="9"/>
      <c r="S6" s="10"/>
      <c r="T6" s="16">
        <f>SUM(W63:W77)</f>
        <v>27</v>
      </c>
      <c r="U6" s="3"/>
      <c r="V6" s="16">
        <f>SUM(W83)</f>
        <v>0</v>
      </c>
      <c r="W6" s="3"/>
      <c r="Y6" s="9"/>
      <c r="AA6" s="10"/>
      <c r="AB6" s="16">
        <f>SUM(AE63:AE77)</f>
        <v>0</v>
      </c>
      <c r="AC6" s="3"/>
      <c r="AD6" s="16">
        <f>SUM(AE83:AE92)</f>
        <v>40</v>
      </c>
      <c r="AE6" s="3"/>
    </row>
    <row r="7" ht="36.0" customHeight="1">
      <c r="A7" s="12"/>
      <c r="B7" s="17"/>
      <c r="C7" s="13"/>
      <c r="D7" s="12"/>
      <c r="E7" s="13"/>
      <c r="F7" s="12"/>
      <c r="G7" s="13"/>
      <c r="I7" s="12"/>
      <c r="J7" s="17"/>
      <c r="K7" s="13"/>
      <c r="L7" s="12"/>
      <c r="M7" s="13"/>
      <c r="N7" s="12"/>
      <c r="O7" s="13"/>
      <c r="Q7" s="12"/>
      <c r="R7" s="17"/>
      <c r="S7" s="13"/>
      <c r="T7" s="12"/>
      <c r="U7" s="13"/>
      <c r="V7" s="12"/>
      <c r="W7" s="13"/>
      <c r="Y7" s="12"/>
      <c r="Z7" s="17"/>
      <c r="AA7" s="13"/>
      <c r="AB7" s="12"/>
      <c r="AC7" s="13"/>
      <c r="AD7" s="12"/>
      <c r="AE7" s="13"/>
    </row>
    <row r="8">
      <c r="A8" s="18" t="s">
        <v>6</v>
      </c>
      <c r="I8" s="18"/>
      <c r="Q8" s="18"/>
      <c r="Y8" s="18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408.75" customHeight="1">
      <c r="H39" s="11" t="s">
        <v>6</v>
      </c>
    </row>
    <row r="40" ht="15.75" customHeight="1"/>
    <row r="41" ht="15.0" customHeight="1">
      <c r="A41" s="19" t="s">
        <v>7</v>
      </c>
      <c r="B41" s="2"/>
      <c r="C41" s="2"/>
      <c r="D41" s="3"/>
      <c r="E41" s="20">
        <f>D4-D6</f>
        <v>329</v>
      </c>
      <c r="I41" s="19" t="s">
        <v>7</v>
      </c>
      <c r="J41" s="2"/>
      <c r="K41" s="2"/>
      <c r="L41" s="3"/>
      <c r="M41" s="20">
        <f>L4-L6</f>
        <v>106</v>
      </c>
      <c r="Q41" s="19" t="s">
        <v>7</v>
      </c>
      <c r="R41" s="2"/>
      <c r="S41" s="2"/>
      <c r="T41" s="3"/>
      <c r="U41" s="20">
        <f>T4-T6</f>
        <v>71</v>
      </c>
      <c r="Y41" s="19" t="s">
        <v>7</v>
      </c>
      <c r="Z41" s="2"/>
      <c r="AA41" s="2"/>
      <c r="AB41" s="3"/>
      <c r="AC41" s="20">
        <f>AB4-AB6</f>
        <v>191</v>
      </c>
    </row>
    <row r="42" ht="15.0" customHeight="1">
      <c r="A42" s="9"/>
      <c r="D42" s="10"/>
      <c r="I42" s="9"/>
      <c r="L42" s="10"/>
      <c r="Q42" s="9"/>
      <c r="T42" s="10"/>
      <c r="Y42" s="9"/>
      <c r="AB42" s="10"/>
    </row>
    <row r="43" ht="15.0" customHeight="1">
      <c r="A43" s="9"/>
      <c r="D43" s="10"/>
      <c r="I43" s="9"/>
      <c r="L43" s="10"/>
      <c r="Q43" s="9"/>
      <c r="T43" s="10"/>
      <c r="Y43" s="9"/>
      <c r="AB43" s="10"/>
    </row>
    <row r="44" ht="15.0" customHeight="1">
      <c r="A44" s="9"/>
      <c r="D44" s="10"/>
      <c r="I44" s="9"/>
      <c r="L44" s="10"/>
      <c r="Q44" s="9"/>
      <c r="T44" s="10"/>
      <c r="Y44" s="9"/>
      <c r="AB44" s="10"/>
    </row>
    <row r="45" ht="15.0" customHeight="1">
      <c r="A45" s="9"/>
      <c r="D45" s="10"/>
      <c r="I45" s="9"/>
      <c r="L45" s="10"/>
      <c r="Q45" s="9"/>
      <c r="T45" s="10"/>
      <c r="Y45" s="9"/>
      <c r="AB45" s="10"/>
    </row>
    <row r="46" ht="15.0" customHeight="1">
      <c r="A46" s="9"/>
      <c r="D46" s="10"/>
      <c r="I46" s="9"/>
      <c r="L46" s="10"/>
      <c r="Q46" s="9"/>
      <c r="T46" s="10"/>
      <c r="Y46" s="9"/>
      <c r="AB46" s="10"/>
    </row>
    <row r="47" ht="15.0" customHeight="1">
      <c r="A47" s="9"/>
      <c r="D47" s="10"/>
      <c r="I47" s="9"/>
      <c r="L47" s="10"/>
      <c r="Q47" s="9"/>
      <c r="T47" s="10"/>
      <c r="Y47" s="9"/>
      <c r="AB47" s="10"/>
    </row>
    <row r="48" ht="15.0" customHeight="1">
      <c r="A48" s="9"/>
      <c r="D48" s="10"/>
      <c r="I48" s="9"/>
      <c r="L48" s="10"/>
      <c r="Q48" s="9"/>
      <c r="T48" s="10"/>
      <c r="Y48" s="9"/>
      <c r="AB48" s="10"/>
    </row>
    <row r="49" ht="15.0" customHeight="1">
      <c r="A49" s="12"/>
      <c r="B49" s="17"/>
      <c r="C49" s="17"/>
      <c r="D49" s="13"/>
      <c r="I49" s="12"/>
      <c r="J49" s="17"/>
      <c r="K49" s="17"/>
      <c r="L49" s="13"/>
      <c r="Q49" s="12"/>
      <c r="R49" s="17"/>
      <c r="S49" s="17"/>
      <c r="T49" s="13"/>
      <c r="Y49" s="12"/>
      <c r="Z49" s="17"/>
      <c r="AA49" s="17"/>
      <c r="AB49" s="13"/>
    </row>
    <row r="50" ht="15.0" customHeight="1">
      <c r="A50" s="21" t="s">
        <v>8</v>
      </c>
      <c r="B50" s="2"/>
      <c r="C50" s="2"/>
      <c r="D50" s="3"/>
      <c r="E50" s="22">
        <f>F4-F6</f>
        <v>152</v>
      </c>
      <c r="I50" s="21" t="s">
        <v>8</v>
      </c>
      <c r="J50" s="2"/>
      <c r="K50" s="2"/>
      <c r="L50" s="3"/>
      <c r="M50" s="22">
        <f>N4-N6</f>
        <v>103</v>
      </c>
      <c r="Q50" s="21" t="s">
        <v>8</v>
      </c>
      <c r="R50" s="2"/>
      <c r="S50" s="2"/>
      <c r="T50" s="3"/>
      <c r="U50" s="22">
        <f>V4-V6</f>
        <v>25</v>
      </c>
      <c r="Y50" s="21" t="s">
        <v>8</v>
      </c>
      <c r="Z50" s="2"/>
      <c r="AA50" s="2"/>
      <c r="AB50" s="3"/>
      <c r="AC50" s="22">
        <f>AD4-AD6</f>
        <v>70</v>
      </c>
    </row>
    <row r="51" ht="15.0" customHeight="1">
      <c r="A51" s="9"/>
      <c r="D51" s="10"/>
      <c r="I51" s="9"/>
      <c r="L51" s="10"/>
      <c r="Q51" s="9"/>
      <c r="T51" s="10"/>
      <c r="Y51" s="9"/>
      <c r="AB51" s="10"/>
    </row>
    <row r="52" ht="15.0" customHeight="1">
      <c r="A52" s="9"/>
      <c r="D52" s="10"/>
      <c r="I52" s="9"/>
      <c r="L52" s="10"/>
      <c r="Q52" s="9"/>
      <c r="T52" s="10"/>
      <c r="Y52" s="9"/>
      <c r="AB52" s="10"/>
    </row>
    <row r="53" ht="15.0" customHeight="1">
      <c r="A53" s="9"/>
      <c r="D53" s="10"/>
      <c r="I53" s="9"/>
      <c r="L53" s="10"/>
      <c r="Q53" s="9"/>
      <c r="T53" s="10"/>
      <c r="Y53" s="9"/>
      <c r="AB53" s="10"/>
    </row>
    <row r="54" ht="15.0" customHeight="1">
      <c r="A54" s="9"/>
      <c r="D54" s="10"/>
      <c r="I54" s="9"/>
      <c r="L54" s="10"/>
      <c r="Q54" s="9"/>
      <c r="T54" s="10"/>
      <c r="Y54" s="9"/>
      <c r="AB54" s="10"/>
    </row>
    <row r="55" ht="15.0" customHeight="1">
      <c r="A55" s="9"/>
      <c r="D55" s="10"/>
      <c r="I55" s="9"/>
      <c r="L55" s="10"/>
      <c r="Q55" s="9"/>
      <c r="T55" s="10"/>
      <c r="Y55" s="9"/>
      <c r="AB55" s="10"/>
    </row>
    <row r="56" ht="15.0" customHeight="1">
      <c r="A56" s="9"/>
      <c r="D56" s="10"/>
      <c r="I56" s="9"/>
      <c r="L56" s="10"/>
      <c r="Q56" s="9"/>
      <c r="T56" s="10"/>
      <c r="Y56" s="9"/>
      <c r="AB56" s="10"/>
    </row>
    <row r="57" ht="15.0" customHeight="1">
      <c r="A57" s="9"/>
      <c r="D57" s="10"/>
      <c r="I57" s="9"/>
      <c r="L57" s="10"/>
      <c r="Q57" s="9"/>
      <c r="T57" s="10"/>
      <c r="Y57" s="9"/>
      <c r="AB57" s="10"/>
    </row>
    <row r="58" ht="15.0" customHeight="1">
      <c r="A58" s="12"/>
      <c r="B58" s="17"/>
      <c r="C58" s="17"/>
      <c r="D58" s="13"/>
      <c r="I58" s="12"/>
      <c r="J58" s="17"/>
      <c r="K58" s="17"/>
      <c r="L58" s="13"/>
      <c r="Q58" s="12"/>
      <c r="R58" s="17"/>
      <c r="S58" s="17"/>
      <c r="T58" s="13"/>
      <c r="Y58" s="12"/>
      <c r="Z58" s="17"/>
      <c r="AA58" s="17"/>
      <c r="AB58" s="13"/>
    </row>
    <row r="59" ht="56.25" customHeight="1">
      <c r="A59" s="23" t="s">
        <v>9</v>
      </c>
      <c r="B59" s="2"/>
      <c r="C59" s="2"/>
      <c r="D59" s="3"/>
      <c r="E59" s="24" t="s">
        <v>10</v>
      </c>
      <c r="F59" s="25"/>
      <c r="G59" s="26" t="s">
        <v>11</v>
      </c>
      <c r="I59" s="23" t="s">
        <v>9</v>
      </c>
      <c r="J59" s="2"/>
      <c r="K59" s="2"/>
      <c r="L59" s="3"/>
      <c r="M59" s="24" t="s">
        <v>10</v>
      </c>
      <c r="N59" s="25"/>
      <c r="O59" s="26" t="s">
        <v>11</v>
      </c>
      <c r="Q59" s="23" t="s">
        <v>9</v>
      </c>
      <c r="R59" s="2"/>
      <c r="S59" s="2"/>
      <c r="T59" s="3"/>
      <c r="U59" s="24" t="s">
        <v>10</v>
      </c>
      <c r="V59" s="25"/>
      <c r="W59" s="26" t="s">
        <v>11</v>
      </c>
      <c r="Y59" s="23" t="s">
        <v>9</v>
      </c>
      <c r="Z59" s="2"/>
      <c r="AA59" s="2"/>
      <c r="AB59" s="3"/>
      <c r="AC59" s="24" t="s">
        <v>10</v>
      </c>
      <c r="AD59" s="25"/>
      <c r="AE59" s="26" t="s">
        <v>11</v>
      </c>
    </row>
    <row r="60" ht="8.25" hidden="1" customHeight="1">
      <c r="A60" s="9"/>
      <c r="D60" s="10"/>
      <c r="E60" s="27"/>
      <c r="F60" s="25"/>
      <c r="G60" s="27"/>
      <c r="I60" s="9"/>
      <c r="L60" s="10"/>
      <c r="M60" s="27"/>
      <c r="N60" s="25"/>
      <c r="O60" s="27"/>
      <c r="Q60" s="9"/>
      <c r="T60" s="10"/>
      <c r="U60" s="27"/>
      <c r="V60" s="25"/>
      <c r="W60" s="27"/>
      <c r="Y60" s="9"/>
      <c r="AB60" s="10"/>
      <c r="AC60" s="27"/>
      <c r="AD60" s="25"/>
      <c r="AE60" s="27"/>
    </row>
    <row r="61" ht="16.5" customHeight="1">
      <c r="A61" s="12"/>
      <c r="B61" s="17"/>
      <c r="C61" s="17"/>
      <c r="D61" s="13"/>
      <c r="E61" s="27"/>
      <c r="F61" s="25"/>
      <c r="G61" s="27"/>
      <c r="I61" s="12"/>
      <c r="J61" s="17"/>
      <c r="K61" s="17"/>
      <c r="L61" s="13"/>
      <c r="M61" s="27"/>
      <c r="N61" s="25"/>
      <c r="O61" s="27"/>
      <c r="Q61" s="12"/>
      <c r="R61" s="17"/>
      <c r="S61" s="17"/>
      <c r="T61" s="13"/>
      <c r="U61" s="27"/>
      <c r="V61" s="25"/>
      <c r="W61" s="27"/>
      <c r="Y61" s="12"/>
      <c r="Z61" s="17"/>
      <c r="AA61" s="17"/>
      <c r="AB61" s="13"/>
      <c r="AC61" s="27"/>
      <c r="AD61" s="25"/>
      <c r="AE61" s="27"/>
    </row>
    <row r="62" ht="15.75" hidden="1" customHeight="1">
      <c r="E62" s="28"/>
      <c r="F62" s="25"/>
      <c r="G62" s="28"/>
      <c r="M62" s="28"/>
      <c r="N62" s="25"/>
      <c r="O62" s="28"/>
      <c r="U62" s="28"/>
      <c r="V62" s="25"/>
      <c r="W62" s="28"/>
      <c r="AC62" s="28"/>
      <c r="AD62" s="25"/>
      <c r="AE62" s="28"/>
    </row>
    <row r="63" ht="15.0" customHeight="1">
      <c r="A63" s="29">
        <v>6.0</v>
      </c>
      <c r="B63" s="2"/>
      <c r="C63" s="2"/>
      <c r="D63" s="3"/>
      <c r="E63" s="30">
        <v>116.0</v>
      </c>
      <c r="F63" s="31">
        <v>116.0</v>
      </c>
      <c r="G63" s="30">
        <v>24.0</v>
      </c>
      <c r="H63" s="32">
        <v>116.0</v>
      </c>
      <c r="I63" s="33">
        <v>4.0</v>
      </c>
      <c r="J63" s="2"/>
      <c r="K63" s="2"/>
      <c r="L63" s="3"/>
      <c r="M63" s="34">
        <v>41.0</v>
      </c>
      <c r="N63" s="35">
        <v>41.0</v>
      </c>
      <c r="O63" s="36">
        <v>41.0</v>
      </c>
      <c r="P63" s="32">
        <v>41.0</v>
      </c>
      <c r="Q63" s="37">
        <v>6.0</v>
      </c>
      <c r="R63" s="2"/>
      <c r="S63" s="2"/>
      <c r="T63" s="3"/>
      <c r="U63" s="38">
        <v>28.0</v>
      </c>
      <c r="V63" s="39">
        <v>28.0</v>
      </c>
      <c r="W63" s="40">
        <v>0.0</v>
      </c>
      <c r="X63" s="32">
        <v>28.0</v>
      </c>
      <c r="Y63" s="41">
        <v>6.0</v>
      </c>
      <c r="AC63" s="42">
        <v>81.0</v>
      </c>
      <c r="AD63" s="43">
        <v>81.0</v>
      </c>
      <c r="AE63" s="44">
        <v>0.0</v>
      </c>
      <c r="AF63" s="32">
        <v>81.0</v>
      </c>
    </row>
    <row r="64" ht="15.0" customHeight="1">
      <c r="A64" s="9"/>
      <c r="D64" s="10"/>
      <c r="I64" s="9"/>
      <c r="L64" s="10"/>
      <c r="Q64" s="9"/>
      <c r="T64" s="10"/>
    </row>
    <row r="65" ht="15.0" customHeight="1">
      <c r="A65" s="9"/>
      <c r="D65" s="10"/>
      <c r="I65" s="9"/>
      <c r="L65" s="10"/>
      <c r="Q65" s="9"/>
      <c r="T65" s="10"/>
    </row>
    <row r="66" ht="15.0" customHeight="1">
      <c r="A66" s="9"/>
      <c r="D66" s="10"/>
      <c r="I66" s="9"/>
      <c r="L66" s="10"/>
      <c r="Q66" s="9"/>
      <c r="T66" s="10"/>
    </row>
    <row r="67" ht="15.0" customHeight="1">
      <c r="A67" s="12"/>
      <c r="B67" s="17"/>
      <c r="C67" s="17"/>
      <c r="D67" s="13"/>
      <c r="I67" s="12"/>
      <c r="J67" s="17"/>
      <c r="K67" s="17"/>
      <c r="L67" s="13"/>
      <c r="Q67" s="12"/>
      <c r="R67" s="17"/>
      <c r="S67" s="17"/>
      <c r="T67" s="13"/>
    </row>
    <row r="68" ht="15.0" customHeight="1">
      <c r="A68" s="37">
        <v>7.0</v>
      </c>
      <c r="B68" s="2"/>
      <c r="C68" s="2"/>
      <c r="D68" s="3"/>
      <c r="E68" s="42">
        <v>237.0</v>
      </c>
      <c r="F68" s="43">
        <v>237.0</v>
      </c>
      <c r="G68" s="44">
        <v>0.0</v>
      </c>
      <c r="H68" s="32">
        <v>34.0</v>
      </c>
      <c r="I68" s="33">
        <v>5.0</v>
      </c>
      <c r="J68" s="2"/>
      <c r="K68" s="2"/>
      <c r="L68" s="3"/>
      <c r="M68" s="34">
        <v>21.0</v>
      </c>
      <c r="N68" s="35">
        <v>21.0</v>
      </c>
      <c r="O68" s="36">
        <v>21.0</v>
      </c>
      <c r="P68" s="32">
        <v>21.0</v>
      </c>
      <c r="Q68" s="33">
        <v>7.0</v>
      </c>
      <c r="R68" s="2"/>
      <c r="S68" s="2"/>
      <c r="T68" s="3"/>
      <c r="U68" s="34">
        <v>27.0</v>
      </c>
      <c r="V68" s="35">
        <v>27.0</v>
      </c>
      <c r="W68" s="36">
        <v>27.0</v>
      </c>
      <c r="X68" s="32">
        <v>27.0</v>
      </c>
      <c r="Y68" s="41">
        <v>7.0</v>
      </c>
      <c r="AC68" s="42">
        <v>44.0</v>
      </c>
      <c r="AD68" s="43">
        <v>44.0</v>
      </c>
      <c r="AE68" s="44">
        <v>0.0</v>
      </c>
      <c r="AF68" s="32">
        <v>19.0</v>
      </c>
    </row>
    <row r="69" ht="15.0" customHeight="1">
      <c r="A69" s="9"/>
      <c r="D69" s="10"/>
      <c r="I69" s="9"/>
      <c r="L69" s="10"/>
      <c r="Q69" s="9"/>
      <c r="T69" s="10"/>
    </row>
    <row r="70" ht="15.0" customHeight="1">
      <c r="A70" s="9"/>
      <c r="D70" s="10"/>
      <c r="I70" s="9"/>
      <c r="L70" s="10"/>
      <c r="Q70" s="9"/>
      <c r="T70" s="10"/>
    </row>
    <row r="71" ht="15.0" customHeight="1">
      <c r="A71" s="9"/>
      <c r="D71" s="10"/>
      <c r="I71" s="9"/>
      <c r="L71" s="10"/>
      <c r="Q71" s="9"/>
      <c r="T71" s="10"/>
    </row>
    <row r="72" ht="15.0" customHeight="1">
      <c r="A72" s="12"/>
      <c r="B72" s="17"/>
      <c r="C72" s="17"/>
      <c r="D72" s="13"/>
      <c r="I72" s="12"/>
      <c r="J72" s="17"/>
      <c r="K72" s="17"/>
      <c r="L72" s="13"/>
      <c r="Q72" s="12"/>
      <c r="R72" s="17"/>
      <c r="S72" s="17"/>
      <c r="T72" s="13"/>
    </row>
    <row r="73" ht="15.0" customHeight="1">
      <c r="A73" s="8" t="s">
        <v>2</v>
      </c>
      <c r="B73" s="2"/>
      <c r="C73" s="2"/>
      <c r="D73" s="2"/>
      <c r="E73" s="2"/>
      <c r="F73" s="2"/>
      <c r="G73" s="3"/>
      <c r="I73" s="37">
        <v>6.0</v>
      </c>
      <c r="J73" s="2"/>
      <c r="K73" s="2"/>
      <c r="L73" s="3"/>
      <c r="M73" s="42">
        <v>110.0</v>
      </c>
      <c r="N73" s="43">
        <v>110.0</v>
      </c>
      <c r="O73" s="45">
        <v>0.0</v>
      </c>
      <c r="P73" s="32">
        <v>95.0</v>
      </c>
      <c r="Q73" s="37">
        <v>8.0</v>
      </c>
      <c r="R73" s="2"/>
      <c r="S73" s="2"/>
      <c r="T73" s="3"/>
      <c r="U73" s="42">
        <v>43.0</v>
      </c>
      <c r="V73" s="43">
        <v>43.0</v>
      </c>
      <c r="W73" s="44">
        <v>0.0</v>
      </c>
      <c r="X73" s="32">
        <v>43.0</v>
      </c>
      <c r="Y73" s="41">
        <v>8.0</v>
      </c>
      <c r="AC73" s="42">
        <v>66.0</v>
      </c>
      <c r="AD73" s="43">
        <v>66.0</v>
      </c>
      <c r="AE73" s="44">
        <v>0.0</v>
      </c>
      <c r="AF73" s="32">
        <v>0.0</v>
      </c>
    </row>
    <row r="74" ht="15.0" customHeight="1">
      <c r="A74" s="9"/>
      <c r="G74" s="10"/>
      <c r="I74" s="9"/>
      <c r="L74" s="10"/>
      <c r="Q74" s="9"/>
      <c r="T74" s="10"/>
    </row>
    <row r="75" ht="15.0" customHeight="1">
      <c r="A75" s="9"/>
      <c r="G75" s="10"/>
      <c r="I75" s="9"/>
      <c r="L75" s="10"/>
      <c r="Q75" s="9"/>
      <c r="T75" s="10"/>
    </row>
    <row r="76" ht="15.0" customHeight="1">
      <c r="A76" s="9"/>
      <c r="G76" s="10"/>
      <c r="I76" s="9"/>
      <c r="L76" s="10"/>
      <c r="Q76" s="9"/>
      <c r="T76" s="10"/>
    </row>
    <row r="77" ht="15.0" customHeight="1">
      <c r="A77" s="12"/>
      <c r="B77" s="17"/>
      <c r="C77" s="17"/>
      <c r="D77" s="17"/>
      <c r="E77" s="17"/>
      <c r="F77" s="17"/>
      <c r="G77" s="13"/>
      <c r="I77" s="12"/>
      <c r="J77" s="17"/>
      <c r="K77" s="17"/>
      <c r="L77" s="13"/>
      <c r="Q77" s="12"/>
      <c r="R77" s="17"/>
      <c r="S77" s="17"/>
      <c r="T77" s="13"/>
    </row>
    <row r="78" ht="15.0" customHeight="1">
      <c r="A78" s="29">
        <v>8.0</v>
      </c>
      <c r="B78" s="2"/>
      <c r="C78" s="2"/>
      <c r="D78" s="3"/>
      <c r="E78" s="30">
        <v>71.0</v>
      </c>
      <c r="F78" s="31">
        <v>71.0</v>
      </c>
      <c r="G78" s="30">
        <v>57.0</v>
      </c>
      <c r="H78" s="32">
        <v>22.0</v>
      </c>
      <c r="I78" s="8" t="s">
        <v>2</v>
      </c>
      <c r="J78" s="2"/>
      <c r="K78" s="2"/>
      <c r="L78" s="2"/>
      <c r="M78" s="2"/>
      <c r="N78" s="2"/>
      <c r="O78" s="3"/>
      <c r="P78" s="32"/>
      <c r="Q78" s="8" t="s">
        <v>2</v>
      </c>
      <c r="R78" s="2"/>
      <c r="S78" s="2"/>
      <c r="T78" s="2"/>
      <c r="U78" s="2"/>
      <c r="V78" s="2"/>
      <c r="W78" s="3"/>
      <c r="Y78" s="8" t="s">
        <v>2</v>
      </c>
      <c r="Z78" s="2"/>
      <c r="AA78" s="2"/>
      <c r="AB78" s="2"/>
      <c r="AC78" s="2"/>
      <c r="AD78" s="2"/>
      <c r="AE78" s="3"/>
    </row>
    <row r="79" ht="15.0" customHeight="1">
      <c r="A79" s="9"/>
      <c r="D79" s="10"/>
      <c r="I79" s="9"/>
      <c r="O79" s="10"/>
      <c r="Q79" s="9"/>
      <c r="W79" s="10"/>
      <c r="Y79" s="9"/>
      <c r="AE79" s="10"/>
    </row>
    <row r="80" ht="15.0" customHeight="1">
      <c r="A80" s="9"/>
      <c r="D80" s="10"/>
      <c r="I80" s="9"/>
      <c r="O80" s="10"/>
      <c r="Q80" s="9"/>
      <c r="W80" s="10"/>
      <c r="Y80" s="9"/>
      <c r="AE80" s="10"/>
    </row>
    <row r="81" ht="15.0" customHeight="1">
      <c r="A81" s="9"/>
      <c r="D81" s="10"/>
      <c r="I81" s="9"/>
      <c r="O81" s="10"/>
      <c r="Q81" s="9"/>
      <c r="W81" s="10"/>
      <c r="Y81" s="9"/>
      <c r="AE81" s="10"/>
    </row>
    <row r="82" ht="15.0" customHeight="1">
      <c r="A82" s="12"/>
      <c r="B82" s="17"/>
      <c r="C82" s="17"/>
      <c r="D82" s="13"/>
      <c r="I82" s="12"/>
      <c r="J82" s="17"/>
      <c r="K82" s="17"/>
      <c r="L82" s="17"/>
      <c r="M82" s="17"/>
      <c r="N82" s="17"/>
      <c r="O82" s="13"/>
      <c r="Q82" s="12"/>
      <c r="R82" s="17"/>
      <c r="S82" s="17"/>
      <c r="T82" s="17"/>
      <c r="U82" s="17"/>
      <c r="V82" s="17"/>
      <c r="W82" s="13"/>
      <c r="Y82" s="12"/>
      <c r="Z82" s="17"/>
      <c r="AA82" s="17"/>
      <c r="AB82" s="17"/>
      <c r="AC82" s="17"/>
      <c r="AD82" s="17"/>
      <c r="AE82" s="13"/>
    </row>
    <row r="83" ht="15.0" customHeight="1">
      <c r="A83" s="46">
        <v>9.0</v>
      </c>
      <c r="B83" s="2"/>
      <c r="C83" s="2"/>
      <c r="D83" s="3"/>
      <c r="E83" s="47">
        <v>79.0</v>
      </c>
      <c r="F83" s="43">
        <v>79.0</v>
      </c>
      <c r="G83" s="44">
        <v>0.0</v>
      </c>
      <c r="H83" s="32"/>
      <c r="I83" s="46">
        <v>7.0</v>
      </c>
      <c r="J83" s="2"/>
      <c r="K83" s="2"/>
      <c r="L83" s="3"/>
      <c r="M83" s="47">
        <v>67.0</v>
      </c>
      <c r="N83" s="48">
        <v>67.0</v>
      </c>
      <c r="O83" s="45">
        <v>0.0</v>
      </c>
      <c r="P83" s="49">
        <v>31.0</v>
      </c>
      <c r="Q83" s="46">
        <v>9.0</v>
      </c>
      <c r="R83" s="2"/>
      <c r="S83" s="2"/>
      <c r="T83" s="3"/>
      <c r="U83" s="47">
        <v>25.0</v>
      </c>
      <c r="V83" s="43"/>
      <c r="W83" s="44">
        <v>0.0</v>
      </c>
      <c r="X83" s="50">
        <v>24.0</v>
      </c>
      <c r="Y83" s="29">
        <v>9.0</v>
      </c>
      <c r="Z83" s="2"/>
      <c r="AA83" s="2"/>
      <c r="AB83" s="3"/>
      <c r="AC83" s="30">
        <v>69.0</v>
      </c>
      <c r="AD83" s="31">
        <v>69.0</v>
      </c>
      <c r="AE83" s="30">
        <v>40.0</v>
      </c>
      <c r="AF83" s="32">
        <v>40.0</v>
      </c>
    </row>
    <row r="84" ht="15.0" customHeight="1">
      <c r="A84" s="9"/>
      <c r="D84" s="10"/>
      <c r="I84" s="9"/>
      <c r="L84" s="10"/>
      <c r="Q84" s="9"/>
      <c r="T84" s="10"/>
      <c r="Y84" s="9"/>
      <c r="AB84" s="10"/>
    </row>
    <row r="85" ht="15.0" customHeight="1">
      <c r="A85" s="9"/>
      <c r="D85" s="10"/>
      <c r="I85" s="9"/>
      <c r="L85" s="10"/>
      <c r="Q85" s="9"/>
      <c r="T85" s="10"/>
      <c r="Y85" s="9"/>
      <c r="AB85" s="10"/>
    </row>
    <row r="86" ht="15.0" customHeight="1">
      <c r="A86" s="9"/>
      <c r="D86" s="10"/>
      <c r="I86" s="9"/>
      <c r="L86" s="10"/>
      <c r="Q86" s="9"/>
      <c r="T86" s="10"/>
      <c r="Y86" s="9"/>
      <c r="AB86" s="10"/>
    </row>
    <row r="87" ht="15.0" customHeight="1">
      <c r="A87" s="12"/>
      <c r="B87" s="17"/>
      <c r="C87" s="17"/>
      <c r="D87" s="13"/>
      <c r="I87" s="12"/>
      <c r="J87" s="17"/>
      <c r="K87" s="17"/>
      <c r="L87" s="13"/>
      <c r="Q87" s="12"/>
      <c r="R87" s="17"/>
      <c r="S87" s="17"/>
      <c r="T87" s="13"/>
      <c r="Y87" s="12"/>
      <c r="Z87" s="17"/>
      <c r="AA87" s="17"/>
      <c r="AB87" s="13"/>
    </row>
    <row r="88" ht="15.0" customHeight="1">
      <c r="A88" s="46">
        <v>10.0</v>
      </c>
      <c r="B88" s="2"/>
      <c r="C88" s="2"/>
      <c r="D88" s="3"/>
      <c r="E88" s="47">
        <v>59.0</v>
      </c>
      <c r="F88" s="48">
        <v>59.0</v>
      </c>
      <c r="G88" s="45"/>
      <c r="H88" s="32"/>
      <c r="I88" s="46">
        <v>8.0</v>
      </c>
      <c r="J88" s="2"/>
      <c r="K88" s="2"/>
      <c r="L88" s="3"/>
      <c r="M88" s="47">
        <v>40.0</v>
      </c>
      <c r="N88" s="48">
        <v>40.0</v>
      </c>
      <c r="O88" s="44">
        <v>4.0</v>
      </c>
      <c r="P88" s="49"/>
      <c r="Q88" s="51"/>
      <c r="R88" s="51"/>
      <c r="S88" s="51"/>
      <c r="T88" s="51"/>
      <c r="U88" s="52"/>
      <c r="W88" s="53"/>
      <c r="Y88" s="46">
        <v>10.0</v>
      </c>
      <c r="Z88" s="2"/>
      <c r="AA88" s="2"/>
      <c r="AB88" s="3"/>
      <c r="AC88" s="47">
        <v>41.0</v>
      </c>
      <c r="AD88" s="48">
        <v>41.0</v>
      </c>
      <c r="AE88" s="44">
        <v>0.0</v>
      </c>
    </row>
    <row r="89" ht="15.0" customHeight="1">
      <c r="A89" s="9"/>
      <c r="D89" s="10"/>
      <c r="I89" s="9"/>
      <c r="L89" s="10"/>
      <c r="Q89" s="51"/>
      <c r="R89" s="51"/>
      <c r="S89" s="51"/>
      <c r="T89" s="51"/>
      <c r="U89" s="52"/>
      <c r="W89" s="53"/>
      <c r="Y89" s="9"/>
      <c r="AB89" s="10"/>
    </row>
    <row r="90" ht="15.0" customHeight="1">
      <c r="A90" s="9"/>
      <c r="D90" s="10"/>
      <c r="I90" s="9"/>
      <c r="L90" s="10"/>
      <c r="Q90" s="51"/>
      <c r="R90" s="51"/>
      <c r="S90" s="51"/>
      <c r="T90" s="51"/>
      <c r="U90" s="52"/>
      <c r="W90" s="53"/>
      <c r="Y90" s="9"/>
      <c r="AB90" s="10"/>
    </row>
    <row r="91" ht="15.0" customHeight="1">
      <c r="A91" s="9"/>
      <c r="D91" s="10"/>
      <c r="I91" s="9"/>
      <c r="L91" s="10"/>
      <c r="Q91" s="51"/>
      <c r="R91" s="51"/>
      <c r="S91" s="51"/>
      <c r="T91" s="51"/>
      <c r="U91" s="52"/>
      <c r="W91" s="53"/>
      <c r="Y91" s="9"/>
      <c r="AB91" s="10"/>
      <c r="AQ91" s="11" t="s">
        <v>6</v>
      </c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</row>
    <row r="92" ht="15.0" customHeight="1">
      <c r="A92" s="12"/>
      <c r="B92" s="17"/>
      <c r="C92" s="17"/>
      <c r="D92" s="13"/>
      <c r="I92" s="12"/>
      <c r="J92" s="17"/>
      <c r="K92" s="17"/>
      <c r="L92" s="13"/>
      <c r="Q92" s="51"/>
      <c r="R92" s="51"/>
      <c r="S92" s="51"/>
      <c r="T92" s="51"/>
      <c r="U92" s="52"/>
      <c r="W92" s="53"/>
      <c r="Y92" s="12"/>
      <c r="Z92" s="17"/>
      <c r="AA92" s="17"/>
      <c r="AB92" s="1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</row>
    <row r="93" ht="15.0" customHeight="1">
      <c r="A93" s="46">
        <v>11.0</v>
      </c>
      <c r="B93" s="2"/>
      <c r="C93" s="2"/>
      <c r="D93" s="3"/>
      <c r="E93" s="54"/>
      <c r="F93" s="43" t="s">
        <v>12</v>
      </c>
      <c r="G93" s="45" t="s">
        <v>6</v>
      </c>
      <c r="H93" s="32" t="s">
        <v>6</v>
      </c>
      <c r="I93" s="55">
        <v>9.0</v>
      </c>
      <c r="J93" s="2"/>
      <c r="K93" s="2"/>
      <c r="L93" s="3"/>
      <c r="M93" s="47">
        <v>21.0</v>
      </c>
      <c r="N93" s="48">
        <v>21.0</v>
      </c>
      <c r="O93" s="45">
        <v>0.0</v>
      </c>
      <c r="P93" s="49"/>
      <c r="Q93" s="51"/>
      <c r="R93" s="51"/>
      <c r="S93" s="51"/>
      <c r="T93" s="51"/>
      <c r="U93" s="52"/>
      <c r="W93" s="53"/>
      <c r="Y93" s="51"/>
      <c r="Z93" s="51"/>
      <c r="AA93" s="51"/>
      <c r="AB93" s="51"/>
      <c r="AC93" s="52"/>
      <c r="AE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</row>
    <row r="94" ht="15.0" customHeight="1">
      <c r="A94" s="9"/>
      <c r="D94" s="10"/>
      <c r="I94" s="9"/>
      <c r="L94" s="10"/>
      <c r="Q94" s="51"/>
      <c r="R94" s="51"/>
      <c r="S94" s="51"/>
      <c r="T94" s="51"/>
      <c r="U94" s="52" t="s">
        <v>6</v>
      </c>
      <c r="W94" s="53"/>
      <c r="Y94" s="51"/>
      <c r="Z94" s="51"/>
      <c r="AA94" s="51"/>
      <c r="AB94" s="51"/>
      <c r="AC94" s="52"/>
      <c r="AE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</row>
    <row r="95" ht="15.0" customHeight="1">
      <c r="A95" s="9"/>
      <c r="D95" s="10"/>
      <c r="I95" s="9"/>
      <c r="L95" s="10"/>
      <c r="Q95" s="51"/>
      <c r="R95" s="51"/>
      <c r="S95" s="51"/>
      <c r="T95" s="51"/>
      <c r="U95" s="52"/>
      <c r="W95" s="53"/>
      <c r="Y95" s="51"/>
      <c r="Z95" s="51"/>
      <c r="AA95" s="51"/>
      <c r="AB95" s="51"/>
      <c r="AC95" s="52"/>
      <c r="AE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</row>
    <row r="96" ht="50.25" customHeight="1">
      <c r="A96" s="9"/>
      <c r="D96" s="10"/>
      <c r="I96" s="9"/>
      <c r="L96" s="10"/>
      <c r="Q96" s="56">
        <v>46.0</v>
      </c>
      <c r="R96" s="51"/>
      <c r="S96" s="51"/>
      <c r="T96" s="51"/>
      <c r="U96" s="52"/>
      <c r="W96" s="53"/>
      <c r="Y96" s="51"/>
      <c r="Z96" s="51"/>
      <c r="AA96" s="51"/>
      <c r="AB96" s="51"/>
      <c r="AC96" s="52"/>
      <c r="AE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</row>
    <row r="97" ht="92.25" hidden="1" customHeight="1">
      <c r="A97" s="9"/>
      <c r="D97" s="10"/>
      <c r="I97" s="12"/>
      <c r="J97" s="17"/>
      <c r="K97" s="17"/>
      <c r="L97" s="13"/>
      <c r="Q97" s="51"/>
      <c r="R97" s="51"/>
      <c r="S97" s="51"/>
      <c r="T97" s="51"/>
      <c r="U97" s="52"/>
      <c r="W97" s="53"/>
      <c r="Y97" s="51"/>
      <c r="Z97" s="51"/>
      <c r="AA97" s="51"/>
      <c r="AB97" s="51"/>
      <c r="AC97" s="52"/>
      <c r="AE97" s="53"/>
      <c r="AG97" s="57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7"/>
      <c r="AU97" s="57"/>
      <c r="AV97" s="57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</row>
    <row r="98" ht="19.5" customHeight="1">
      <c r="A98" s="12"/>
      <c r="B98" s="17"/>
      <c r="C98" s="17"/>
      <c r="D98" s="13"/>
      <c r="I98" s="55" t="s">
        <v>13</v>
      </c>
      <c r="J98" s="2"/>
      <c r="K98" s="2"/>
      <c r="L98" s="3"/>
      <c r="M98" s="47">
        <v>187.0</v>
      </c>
      <c r="N98" s="48">
        <v>187.0</v>
      </c>
      <c r="O98" s="44">
        <v>0.0</v>
      </c>
      <c r="Q98" s="51"/>
      <c r="R98" s="51"/>
      <c r="S98" s="51"/>
      <c r="T98" s="51"/>
      <c r="U98" s="52"/>
      <c r="W98" s="53"/>
      <c r="Y98" s="51"/>
      <c r="Z98" s="51"/>
      <c r="AA98" s="51"/>
      <c r="AB98" s="51"/>
      <c r="AC98" s="52"/>
      <c r="AE98" s="53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3"/>
      <c r="BA98" s="53"/>
      <c r="BB98" s="53"/>
      <c r="BC98" s="53"/>
      <c r="BD98" s="53"/>
      <c r="BE98" s="53"/>
      <c r="BF98" s="53"/>
      <c r="BG98" s="53"/>
    </row>
    <row r="99" ht="15.75" customHeight="1">
      <c r="A99" s="51"/>
      <c r="B99" s="51"/>
      <c r="C99" s="51"/>
      <c r="D99" s="51"/>
      <c r="E99" s="59"/>
      <c r="G99" s="53"/>
      <c r="I99" s="9"/>
      <c r="L99" s="10"/>
      <c r="Q99" s="51"/>
      <c r="R99" s="51"/>
      <c r="S99" s="51"/>
      <c r="T99" s="51"/>
      <c r="U99" s="52"/>
      <c r="W99" s="53"/>
      <c r="Y99" s="51"/>
      <c r="Z99" s="51"/>
      <c r="AA99" s="51"/>
      <c r="AB99" s="51"/>
      <c r="AC99" s="52"/>
      <c r="AE99" s="53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</row>
    <row r="100" ht="15.75" customHeight="1">
      <c r="A100" s="56"/>
      <c r="B100" s="51"/>
      <c r="C100" s="51"/>
      <c r="D100" s="51"/>
      <c r="E100" s="59"/>
      <c r="G100" s="53"/>
      <c r="I100" s="9"/>
      <c r="L100" s="10"/>
      <c r="Q100" s="51"/>
      <c r="R100" s="51"/>
      <c r="S100" s="51"/>
      <c r="T100" s="51"/>
      <c r="U100" s="52"/>
      <c r="W100" s="53"/>
      <c r="Y100" s="51"/>
      <c r="Z100" s="51"/>
      <c r="AA100" s="51"/>
      <c r="AB100" s="51"/>
      <c r="AC100" s="52"/>
      <c r="AE100" s="53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</row>
    <row r="101" ht="15.75" customHeight="1">
      <c r="A101" s="56"/>
      <c r="B101" s="51"/>
      <c r="C101" s="51"/>
      <c r="D101" s="51"/>
      <c r="E101" s="59"/>
      <c r="G101" s="53"/>
      <c r="I101" s="9"/>
      <c r="L101" s="10"/>
      <c r="Q101" s="51"/>
      <c r="R101" s="51"/>
      <c r="S101" s="51"/>
      <c r="T101" s="51"/>
      <c r="U101" s="52"/>
      <c r="W101" s="53"/>
      <c r="Y101" s="51"/>
      <c r="Z101" s="51"/>
      <c r="AA101" s="51"/>
      <c r="AB101" s="51"/>
      <c r="AC101" s="52"/>
      <c r="AE101" s="53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</row>
    <row r="102" ht="15.75" customHeight="1">
      <c r="A102" s="56"/>
      <c r="B102" s="51"/>
      <c r="C102" s="51"/>
      <c r="D102" s="51"/>
      <c r="E102" s="59"/>
      <c r="G102" s="53"/>
      <c r="I102" s="12"/>
      <c r="J102" s="17"/>
      <c r="K102" s="17"/>
      <c r="L102" s="13"/>
      <c r="Q102" s="51"/>
      <c r="R102" s="51"/>
      <c r="S102" s="51"/>
      <c r="T102" s="51"/>
      <c r="U102" s="52"/>
      <c r="W102" s="53"/>
      <c r="Y102" s="51"/>
      <c r="Z102" s="51"/>
      <c r="AA102" s="51"/>
      <c r="AB102" s="51"/>
      <c r="AC102" s="52"/>
      <c r="AE102" s="53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</row>
    <row r="103" ht="15.75" customHeight="1">
      <c r="A103" s="56"/>
      <c r="B103" s="51"/>
      <c r="C103" s="51"/>
      <c r="D103" s="51"/>
      <c r="E103" s="59"/>
      <c r="G103" s="53"/>
      <c r="I103" s="51"/>
      <c r="J103" s="51"/>
      <c r="K103" s="51"/>
      <c r="L103" s="51"/>
      <c r="M103" s="59"/>
      <c r="O103" s="53"/>
      <c r="Q103" s="51"/>
      <c r="R103" s="51"/>
      <c r="S103" s="51"/>
      <c r="T103" s="51"/>
      <c r="U103" s="52"/>
      <c r="W103" s="53"/>
      <c r="Y103" s="51"/>
      <c r="Z103" s="51"/>
      <c r="AA103" s="51"/>
      <c r="AB103" s="51"/>
      <c r="AC103" s="52"/>
      <c r="AE103" s="53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</row>
    <row r="104" ht="15.75" customHeight="1">
      <c r="A104" s="56"/>
      <c r="B104" s="51"/>
      <c r="C104" s="51"/>
      <c r="D104" s="51"/>
      <c r="E104" s="59"/>
      <c r="G104" s="53"/>
      <c r="I104" s="51"/>
      <c r="J104" s="51"/>
      <c r="K104" s="51"/>
      <c r="L104" s="51"/>
      <c r="M104" s="59"/>
      <c r="O104" s="53"/>
      <c r="Q104" s="51"/>
      <c r="R104" s="51"/>
      <c r="S104" s="51"/>
      <c r="T104" s="51"/>
      <c r="U104" s="52"/>
      <c r="W104" s="53"/>
      <c r="Y104" s="51"/>
      <c r="Z104" s="51"/>
      <c r="AA104" s="51"/>
      <c r="AB104" s="51"/>
      <c r="AC104" s="52"/>
      <c r="AE104" s="53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</row>
    <row r="105" ht="15.75" customHeight="1">
      <c r="A105" s="56" t="s">
        <v>6</v>
      </c>
      <c r="B105" s="51"/>
      <c r="C105" s="51"/>
      <c r="D105" s="51"/>
      <c r="E105" s="59"/>
      <c r="G105" s="53"/>
      <c r="I105" s="51">
        <v>10.0</v>
      </c>
      <c r="J105" s="51"/>
      <c r="K105" s="51"/>
      <c r="L105" s="51"/>
      <c r="M105" s="59"/>
      <c r="O105" s="53"/>
      <c r="Q105" s="51"/>
      <c r="R105" s="51"/>
      <c r="S105" s="51"/>
      <c r="T105" s="51"/>
      <c r="U105" s="52"/>
      <c r="W105" s="53"/>
      <c r="Y105" s="51"/>
      <c r="Z105" s="51"/>
      <c r="AA105" s="51"/>
      <c r="AB105" s="51"/>
      <c r="AC105" s="52"/>
      <c r="AE105" s="53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</row>
    <row r="106" ht="15.75" customHeight="1">
      <c r="A106" s="51"/>
      <c r="B106" s="51"/>
      <c r="C106" s="51"/>
      <c r="D106" s="51"/>
      <c r="E106" s="59"/>
      <c r="G106" s="53"/>
      <c r="I106" s="51"/>
      <c r="J106" s="60" t="s">
        <v>7</v>
      </c>
      <c r="K106" s="61" t="s">
        <v>8</v>
      </c>
      <c r="L106" s="51"/>
      <c r="M106" s="59"/>
      <c r="O106" s="53"/>
      <c r="Q106" s="60" t="s">
        <v>7</v>
      </c>
      <c r="R106" s="61" t="s">
        <v>8</v>
      </c>
      <c r="S106" s="51"/>
      <c r="T106" s="51"/>
      <c r="U106" s="52"/>
      <c r="W106" s="53"/>
      <c r="Y106" s="51"/>
      <c r="Z106" s="51"/>
      <c r="AA106" s="51"/>
      <c r="AB106" s="51"/>
      <c r="AC106" s="52" t="s">
        <v>6</v>
      </c>
      <c r="AE106" s="53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</row>
    <row r="107" ht="15.75" customHeight="1">
      <c r="A107" s="51"/>
      <c r="B107" s="51"/>
      <c r="C107" s="51"/>
      <c r="D107" s="51"/>
      <c r="E107" s="60" t="s">
        <v>7</v>
      </c>
      <c r="F107" s="61" t="s">
        <v>8</v>
      </c>
      <c r="G107" s="53"/>
      <c r="I107" s="51"/>
      <c r="J107" s="60">
        <f>M41</f>
        <v>106</v>
      </c>
      <c r="K107" s="61">
        <f>M50+M93+M98</f>
        <v>311</v>
      </c>
      <c r="L107" s="51"/>
      <c r="M107" s="59"/>
      <c r="O107" s="53"/>
      <c r="Q107" s="60">
        <f>U41</f>
        <v>71</v>
      </c>
      <c r="R107" s="61">
        <f>U50</f>
        <v>25</v>
      </c>
      <c r="S107" s="51"/>
      <c r="T107" s="51"/>
      <c r="U107" s="52"/>
      <c r="W107" s="53"/>
      <c r="Y107" s="51"/>
      <c r="Z107" s="60" t="s">
        <v>7</v>
      </c>
      <c r="AA107" s="61" t="s">
        <v>8</v>
      </c>
      <c r="AB107" s="51"/>
      <c r="AC107" s="52"/>
      <c r="AE107" s="53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</row>
    <row r="108" ht="15.75" customHeight="1">
      <c r="A108" s="51"/>
      <c r="B108" s="51"/>
      <c r="C108" s="51"/>
      <c r="D108" s="51"/>
      <c r="E108" s="60">
        <f>E41</f>
        <v>329</v>
      </c>
      <c r="F108" s="61">
        <f>E50</f>
        <v>152</v>
      </c>
      <c r="G108" s="53"/>
      <c r="I108" s="51"/>
      <c r="J108" s="51"/>
      <c r="K108" s="51"/>
      <c r="L108" s="51"/>
      <c r="M108" s="59"/>
      <c r="O108" s="53"/>
      <c r="Q108" s="51"/>
      <c r="R108" s="51"/>
      <c r="S108" s="51"/>
      <c r="T108" s="51"/>
      <c r="U108" s="52"/>
      <c r="W108" s="53"/>
      <c r="Y108" s="51"/>
      <c r="Z108" s="60">
        <f>AC41</f>
        <v>191</v>
      </c>
      <c r="AA108" s="61">
        <f>AC50+AC88</f>
        <v>111</v>
      </c>
      <c r="AB108" s="51"/>
      <c r="AC108" s="52"/>
      <c r="AE108" s="53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3"/>
      <c r="AR108" s="53"/>
      <c r="AS108" s="53"/>
      <c r="AT108" s="53"/>
      <c r="AU108" s="53"/>
    </row>
    <row r="109" ht="15.75" customHeight="1">
      <c r="A109" s="51"/>
      <c r="B109" s="51"/>
      <c r="C109" s="51"/>
      <c r="D109" s="51"/>
      <c r="E109" s="59"/>
      <c r="G109" s="53"/>
      <c r="I109" s="51"/>
      <c r="J109" s="51" t="s">
        <v>6</v>
      </c>
      <c r="K109" s="51"/>
      <c r="L109" s="51"/>
      <c r="M109" s="59"/>
      <c r="O109" s="53"/>
      <c r="Q109" s="51"/>
      <c r="R109" s="51"/>
      <c r="S109" s="51"/>
      <c r="T109" s="51"/>
      <c r="U109" s="52"/>
      <c r="W109" s="53"/>
      <c r="Y109" s="51"/>
      <c r="Z109" s="51"/>
      <c r="AA109" s="51"/>
      <c r="AB109" s="51"/>
      <c r="AC109" s="52"/>
      <c r="AE109" s="53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3"/>
      <c r="AR109" s="53"/>
      <c r="AS109" s="53"/>
      <c r="AT109" s="53"/>
      <c r="AU109" s="53"/>
    </row>
    <row r="110" ht="103.5" customHeight="1">
      <c r="A110" s="51">
        <v>10.0</v>
      </c>
      <c r="B110" s="51"/>
      <c r="C110" s="51"/>
      <c r="D110" s="51"/>
      <c r="E110" s="59"/>
      <c r="G110" s="53"/>
      <c r="I110" s="51">
        <v>10.0</v>
      </c>
      <c r="J110" s="51"/>
      <c r="K110" s="51"/>
      <c r="L110" s="51"/>
      <c r="M110" s="59"/>
      <c r="O110" s="53"/>
      <c r="Q110" s="51"/>
      <c r="R110" s="51"/>
      <c r="S110" s="51"/>
      <c r="T110" s="51"/>
      <c r="U110" s="52"/>
      <c r="W110" s="53"/>
      <c r="Y110" s="51"/>
      <c r="Z110" s="51"/>
      <c r="AA110" s="51"/>
      <c r="AB110" s="51"/>
      <c r="AC110" s="52"/>
      <c r="AE110" s="53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3"/>
      <c r="AR110" s="53"/>
      <c r="AS110" s="53"/>
      <c r="AT110" s="53"/>
      <c r="AU110" s="53"/>
    </row>
    <row r="111" ht="117.0" customHeight="1">
      <c r="A111" s="51"/>
      <c r="B111" s="51"/>
      <c r="C111" s="51"/>
      <c r="D111" s="51"/>
      <c r="E111" s="59"/>
      <c r="G111" s="53"/>
      <c r="I111" s="51"/>
      <c r="J111" s="51"/>
      <c r="K111" s="51"/>
      <c r="L111" s="51"/>
      <c r="M111" s="59"/>
      <c r="O111" s="53"/>
      <c r="Q111" s="51"/>
      <c r="R111" s="51"/>
      <c r="S111" s="51"/>
      <c r="T111" s="51"/>
      <c r="U111" s="52"/>
      <c r="W111" s="53"/>
      <c r="Y111" s="51"/>
      <c r="Z111" s="51"/>
      <c r="AA111" s="51"/>
      <c r="AB111" s="51"/>
      <c r="AC111" s="52"/>
      <c r="AE111" s="53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3"/>
      <c r="AR111" s="53"/>
      <c r="AS111" s="53"/>
      <c r="AT111" s="53"/>
      <c r="AU111" s="53"/>
    </row>
    <row r="112" ht="20.25" customHeight="1">
      <c r="A112" s="51"/>
      <c r="B112" s="51"/>
      <c r="C112" s="51"/>
      <c r="D112" s="51"/>
      <c r="E112" s="59"/>
      <c r="G112" s="53" t="s">
        <v>6</v>
      </c>
      <c r="I112" s="51"/>
      <c r="J112" s="51"/>
      <c r="K112" s="51"/>
      <c r="L112" s="51"/>
      <c r="M112" s="59"/>
      <c r="O112" s="53"/>
      <c r="Q112" s="51"/>
      <c r="R112" s="51"/>
      <c r="S112" s="51"/>
      <c r="T112" s="51"/>
      <c r="U112" s="52"/>
      <c r="W112" s="53"/>
      <c r="Y112" s="51"/>
      <c r="Z112" s="51"/>
      <c r="AA112" s="51"/>
      <c r="AB112" s="51"/>
      <c r="AC112" s="52"/>
      <c r="AE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</row>
    <row r="113" ht="9.0" customHeight="1">
      <c r="A113" s="51"/>
      <c r="B113" s="51"/>
      <c r="C113" s="51"/>
      <c r="D113" s="51"/>
      <c r="E113" s="59"/>
      <c r="G113" s="53"/>
      <c r="H113" s="11" t="s">
        <v>6</v>
      </c>
      <c r="I113" s="51" t="s">
        <v>6</v>
      </c>
      <c r="J113" s="51"/>
      <c r="K113" s="51"/>
      <c r="L113" s="51"/>
      <c r="M113" s="59"/>
      <c r="O113" s="53"/>
      <c r="Q113" s="51"/>
      <c r="R113" s="51"/>
      <c r="S113" s="51"/>
      <c r="T113" s="51"/>
      <c r="U113" s="52"/>
      <c r="W113" s="53"/>
      <c r="Y113" s="51"/>
      <c r="Z113" s="51"/>
      <c r="AA113" s="51"/>
      <c r="AB113" s="51"/>
      <c r="AC113" s="52"/>
      <c r="AE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</row>
    <row r="114" ht="15.0" customHeight="1">
      <c r="I114" s="51">
        <v>10.0</v>
      </c>
      <c r="J114" s="51"/>
      <c r="K114" s="51"/>
      <c r="L114" s="51"/>
      <c r="M114" s="59"/>
      <c r="O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</row>
    <row r="115" ht="15.0" customHeight="1">
      <c r="I115" s="51"/>
      <c r="J115" s="51"/>
      <c r="K115" s="51"/>
      <c r="L115" s="51"/>
      <c r="M115" s="59"/>
      <c r="O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</row>
    <row r="116" ht="15.0" customHeight="1">
      <c r="I116" s="51"/>
      <c r="J116" s="51"/>
      <c r="K116" s="51"/>
      <c r="L116" s="51"/>
      <c r="M116" s="59"/>
      <c r="O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</row>
    <row r="117" ht="15.0" customHeight="1">
      <c r="I117" s="51"/>
      <c r="J117" s="51"/>
      <c r="K117" s="51"/>
      <c r="L117" s="51"/>
      <c r="M117" s="59"/>
      <c r="O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</row>
    <row r="118" ht="15.0" customHeight="1">
      <c r="I118" s="51"/>
      <c r="J118" s="51"/>
      <c r="K118" s="51"/>
      <c r="L118" s="51"/>
      <c r="M118" s="59"/>
      <c r="O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</row>
    <row r="119" ht="15.75" customHeight="1"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</row>
    <row r="120" ht="24.0" customHeight="1"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</row>
    <row r="121" ht="26.25" customHeight="1"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</row>
    <row r="122" ht="26.25" customHeight="1"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</row>
    <row r="123" ht="15.75" customHeight="1"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</row>
    <row r="124" ht="15.75" customHeight="1"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</row>
    <row r="125" ht="15.75" customHeight="1"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</row>
    <row r="126" ht="15.75" customHeight="1"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</row>
    <row r="127" ht="15.75" customHeight="1"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</row>
    <row r="128" ht="15.75" customHeight="1"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</row>
    <row r="129" ht="15.75" customHeight="1"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</row>
    <row r="130" ht="15.75" customHeight="1"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</row>
    <row r="131" ht="15.75" customHeight="1"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</row>
    <row r="132" ht="15.75" customHeight="1"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</row>
    <row r="133" ht="15.75" customHeight="1"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</row>
    <row r="134" ht="15.75" customHeight="1"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</row>
    <row r="135" ht="15.75" customHeight="1"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</row>
    <row r="136" ht="15.75" customHeight="1"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</row>
    <row r="137" ht="15.75" customHeight="1"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</row>
    <row r="138" ht="15.75" customHeight="1"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</row>
    <row r="139" ht="15.75" customHeight="1"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</row>
    <row r="140" ht="15.75" customHeight="1"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</row>
    <row r="141" ht="15.75" customHeight="1"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</row>
    <row r="142" ht="15.75" customHeight="1"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</row>
    <row r="143" ht="15.75" customHeight="1"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</row>
    <row r="144" ht="15.75" customHeight="1"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76">
    <mergeCell ref="AB6:AC7"/>
    <mergeCell ref="AD6:AE7"/>
    <mergeCell ref="T1:U3"/>
    <mergeCell ref="V1:W3"/>
    <mergeCell ref="Y1:AA7"/>
    <mergeCell ref="AB1:AC3"/>
    <mergeCell ref="AD1:AE3"/>
    <mergeCell ref="T4:U5"/>
    <mergeCell ref="V4:W5"/>
    <mergeCell ref="D4:E5"/>
    <mergeCell ref="F4:G5"/>
    <mergeCell ref="L4:M5"/>
    <mergeCell ref="N4:O5"/>
    <mergeCell ref="AB4:AC5"/>
    <mergeCell ref="AD4:AE5"/>
    <mergeCell ref="Y8:AE40"/>
    <mergeCell ref="Y41:AB49"/>
    <mergeCell ref="AC41:AE49"/>
    <mergeCell ref="Y50:AB58"/>
    <mergeCell ref="AC50:AE58"/>
    <mergeCell ref="L6:M7"/>
    <mergeCell ref="N6:O7"/>
    <mergeCell ref="I8:O40"/>
    <mergeCell ref="I41:L49"/>
    <mergeCell ref="M41:O49"/>
    <mergeCell ref="I50:L58"/>
    <mergeCell ref="M50:O58"/>
    <mergeCell ref="A1:C7"/>
    <mergeCell ref="D1:E3"/>
    <mergeCell ref="F1:G3"/>
    <mergeCell ref="I1:K7"/>
    <mergeCell ref="L1:M3"/>
    <mergeCell ref="N1:O3"/>
    <mergeCell ref="Q1:S7"/>
    <mergeCell ref="T6:U7"/>
    <mergeCell ref="V6:W7"/>
    <mergeCell ref="Q8:W40"/>
    <mergeCell ref="Q41:T49"/>
    <mergeCell ref="U41:W49"/>
    <mergeCell ref="Q50:T58"/>
    <mergeCell ref="U50:W58"/>
    <mergeCell ref="D6:E7"/>
    <mergeCell ref="F6:G7"/>
    <mergeCell ref="A8:G40"/>
    <mergeCell ref="A41:D49"/>
    <mergeCell ref="E41:G49"/>
    <mergeCell ref="A50:D58"/>
    <mergeCell ref="E50:G58"/>
    <mergeCell ref="U59:U62"/>
    <mergeCell ref="W59:W62"/>
    <mergeCell ref="Y59:AB61"/>
    <mergeCell ref="AC59:AC62"/>
    <mergeCell ref="AE59:AE62"/>
    <mergeCell ref="A59:D61"/>
    <mergeCell ref="E59:E62"/>
    <mergeCell ref="G59:G62"/>
    <mergeCell ref="I59:L61"/>
    <mergeCell ref="M59:M62"/>
    <mergeCell ref="O59:O62"/>
    <mergeCell ref="Q59:T61"/>
    <mergeCell ref="X63:X67"/>
    <mergeCell ref="Y63:AB67"/>
    <mergeCell ref="AC63:AC67"/>
    <mergeCell ref="AD63:AD67"/>
    <mergeCell ref="AE63:AE67"/>
    <mergeCell ref="AF63:AF67"/>
    <mergeCell ref="N63:N67"/>
    <mergeCell ref="O63:O67"/>
    <mergeCell ref="P63:P67"/>
    <mergeCell ref="Q63:T67"/>
    <mergeCell ref="U63:U67"/>
    <mergeCell ref="V63:V67"/>
    <mergeCell ref="W63:W67"/>
    <mergeCell ref="H63:H67"/>
    <mergeCell ref="I63:L67"/>
    <mergeCell ref="M63:M67"/>
    <mergeCell ref="A63:D67"/>
    <mergeCell ref="E63:E67"/>
    <mergeCell ref="F63:F67"/>
    <mergeCell ref="G63:G67"/>
    <mergeCell ref="X68:X72"/>
    <mergeCell ref="Y68:AB72"/>
    <mergeCell ref="AC68:AC72"/>
    <mergeCell ref="AD68:AD72"/>
    <mergeCell ref="AE68:AE72"/>
    <mergeCell ref="AF68:AF72"/>
    <mergeCell ref="N68:N72"/>
    <mergeCell ref="O68:O72"/>
    <mergeCell ref="P68:P72"/>
    <mergeCell ref="V68:V72"/>
    <mergeCell ref="W68:W72"/>
    <mergeCell ref="Q68:T72"/>
    <mergeCell ref="U68:U72"/>
    <mergeCell ref="X83:X87"/>
    <mergeCell ref="Y83:AB87"/>
    <mergeCell ref="N83:N87"/>
    <mergeCell ref="O83:O87"/>
    <mergeCell ref="P83:P87"/>
    <mergeCell ref="Q83:T87"/>
    <mergeCell ref="U83:U87"/>
    <mergeCell ref="V83:V87"/>
    <mergeCell ref="W83:W87"/>
    <mergeCell ref="N88:N92"/>
    <mergeCell ref="O88:O92"/>
    <mergeCell ref="P88:P92"/>
    <mergeCell ref="Y88:AB92"/>
    <mergeCell ref="AC88:AC92"/>
    <mergeCell ref="AD88:AD92"/>
    <mergeCell ref="AE88:AE92"/>
    <mergeCell ref="AF88:AF92"/>
    <mergeCell ref="A88:D92"/>
    <mergeCell ref="E88:E92"/>
    <mergeCell ref="F88:F92"/>
    <mergeCell ref="G88:G92"/>
    <mergeCell ref="I88:L92"/>
    <mergeCell ref="M88:M92"/>
    <mergeCell ref="H88:H92"/>
    <mergeCell ref="I98:L102"/>
    <mergeCell ref="M98:M102"/>
    <mergeCell ref="P98:P102"/>
    <mergeCell ref="N98:N102"/>
    <mergeCell ref="O98:O102"/>
    <mergeCell ref="P93:P96"/>
    <mergeCell ref="N93:N96"/>
    <mergeCell ref="O93:O97"/>
    <mergeCell ref="I93:L97"/>
    <mergeCell ref="M93:M97"/>
    <mergeCell ref="A93:D98"/>
    <mergeCell ref="E93:E98"/>
    <mergeCell ref="F93:F98"/>
    <mergeCell ref="G93:G98"/>
    <mergeCell ref="H93:H98"/>
    <mergeCell ref="I68:L72"/>
    <mergeCell ref="I73:L77"/>
    <mergeCell ref="W73:W77"/>
    <mergeCell ref="X73:X77"/>
    <mergeCell ref="Y73:AB77"/>
    <mergeCell ref="AC73:AC77"/>
    <mergeCell ref="AD73:AD77"/>
    <mergeCell ref="AE73:AE77"/>
    <mergeCell ref="AF73:AF77"/>
    <mergeCell ref="M73:M77"/>
    <mergeCell ref="N73:N77"/>
    <mergeCell ref="O73:O77"/>
    <mergeCell ref="P73:P77"/>
    <mergeCell ref="Q73:T77"/>
    <mergeCell ref="U73:U77"/>
    <mergeCell ref="V73:V77"/>
    <mergeCell ref="A68:D72"/>
    <mergeCell ref="E68:E72"/>
    <mergeCell ref="F68:F72"/>
    <mergeCell ref="G68:G72"/>
    <mergeCell ref="H68:H72"/>
    <mergeCell ref="M68:M72"/>
    <mergeCell ref="A73:G77"/>
    <mergeCell ref="H73:H77"/>
    <mergeCell ref="Q78:W82"/>
    <mergeCell ref="Y78:AE82"/>
    <mergeCell ref="AC83:AC87"/>
    <mergeCell ref="AD83:AD87"/>
    <mergeCell ref="AE83:AE87"/>
    <mergeCell ref="AF83:AF87"/>
    <mergeCell ref="I78:O82"/>
    <mergeCell ref="P78:P82"/>
    <mergeCell ref="H78:H82"/>
    <mergeCell ref="A78:D82"/>
    <mergeCell ref="E78:E82"/>
    <mergeCell ref="F78:F82"/>
    <mergeCell ref="G78:G82"/>
    <mergeCell ref="A83:D87"/>
    <mergeCell ref="E83:E87"/>
    <mergeCell ref="F83:F87"/>
    <mergeCell ref="G83:G87"/>
    <mergeCell ref="I83:L87"/>
    <mergeCell ref="M83:M87"/>
    <mergeCell ref="H83:H87"/>
  </mergeCells>
  <printOptions/>
  <pageMargins bottom="0.75" footer="0.0" header="0.0" left="0.7" right="0.7" top="0.75"/>
  <pageSetup orientation="portrait"/>
  <drawing r:id="rId1"/>
  <tableParts count="4">
    <tablePart r:id="rId6"/>
    <tablePart r:id="rId7"/>
    <tablePart r:id="rId8"/>
    <tablePart r:id="rId9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2025-01-01T06:21:18Z</dcterms:created>
  <dc:creator>User</dc:creator>
</cp:coreProperties>
</file>