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GIABYTE\Desktop\Storage\The_Boots\02_Rashed\STATE\logs\"/>
    </mc:Choice>
  </mc:AlternateContent>
  <xr:revisionPtr revIDLastSave="0" documentId="13_ncr:1_{8E45D121-DEE0-4BD5-8CE4-86ACB532D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وحة" sheetId="1" r:id="rId1"/>
    <sheet name="ملخص" sheetId="2" r:id="rId2"/>
    <sheet name="سجل" sheetId="3" r:id="rId3"/>
    <sheet name="بيانات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D121" i="4" s="1"/>
  <c r="C114" i="4"/>
  <c r="B114" i="4"/>
  <c r="D120" i="4" s="1"/>
  <c r="C113" i="4"/>
  <c r="B113" i="4"/>
  <c r="D119" i="4" s="1"/>
  <c r="C112" i="4"/>
  <c r="B112" i="4"/>
  <c r="D118" i="4" s="1"/>
  <c r="C111" i="4"/>
  <c r="B111" i="4"/>
  <c r="D117" i="4" s="1"/>
  <c r="C110" i="4"/>
  <c r="B110" i="4"/>
  <c r="D116" i="4" s="1"/>
  <c r="D109" i="4"/>
  <c r="C109" i="4"/>
  <c r="B109" i="4"/>
  <c r="D115" i="4" s="1"/>
  <c r="C108" i="4"/>
  <c r="B108" i="4"/>
  <c r="D114" i="4" s="1"/>
  <c r="C107" i="4"/>
  <c r="B107" i="4"/>
  <c r="D113" i="4" s="1"/>
  <c r="C106" i="4"/>
  <c r="B106" i="4"/>
  <c r="D112" i="4" s="1"/>
  <c r="C105" i="4"/>
  <c r="B105" i="4"/>
  <c r="D111" i="4" s="1"/>
  <c r="C104" i="4"/>
  <c r="B104" i="4"/>
  <c r="D110" i="4" s="1"/>
  <c r="C103" i="4"/>
  <c r="B103" i="4"/>
  <c r="C102" i="4"/>
  <c r="B102" i="4"/>
  <c r="D108" i="4" s="1"/>
  <c r="C101" i="4"/>
  <c r="B101" i="4"/>
  <c r="D107" i="4" s="1"/>
  <c r="C100" i="4"/>
  <c r="B100" i="4"/>
  <c r="D106" i="4" s="1"/>
  <c r="C99" i="4"/>
  <c r="B99" i="4"/>
  <c r="D105" i="4" s="1"/>
  <c r="C98" i="4"/>
  <c r="B98" i="4"/>
  <c r="D97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D96" i="4" s="1"/>
  <c r="C89" i="4"/>
  <c r="B89" i="4"/>
  <c r="D95" i="4" s="1"/>
  <c r="C88" i="4"/>
  <c r="B88" i="4"/>
  <c r="D94" i="4" s="1"/>
  <c r="C87" i="4"/>
  <c r="B87" i="4"/>
  <c r="D93" i="4" s="1"/>
  <c r="C86" i="4"/>
  <c r="B86" i="4"/>
  <c r="D85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D84" i="4" s="1"/>
  <c r="C77" i="4"/>
  <c r="B77" i="4"/>
  <c r="D83" i="4" s="1"/>
  <c r="C76" i="4"/>
  <c r="B76" i="4"/>
  <c r="D82" i="4" s="1"/>
  <c r="C75" i="4"/>
  <c r="B75" i="4"/>
  <c r="D81" i="4" s="1"/>
  <c r="C74" i="4"/>
  <c r="B74" i="4"/>
  <c r="D80" i="4" s="1"/>
  <c r="C73" i="4"/>
  <c r="B73" i="4"/>
  <c r="D79" i="4" s="1"/>
  <c r="C72" i="4"/>
  <c r="B72" i="4"/>
  <c r="D78" i="4" s="1"/>
  <c r="C71" i="4"/>
  <c r="B71" i="4"/>
  <c r="D77" i="4" s="1"/>
  <c r="C70" i="4"/>
  <c r="B70" i="4"/>
  <c r="D76" i="4" s="1"/>
  <c r="C69" i="4"/>
  <c r="B69" i="4"/>
  <c r="D75" i="4" s="1"/>
  <c r="C68" i="4"/>
  <c r="B68" i="4"/>
  <c r="D74" i="4" s="1"/>
  <c r="C67" i="4"/>
  <c r="B67" i="4"/>
  <c r="D73" i="4" s="1"/>
  <c r="C66" i="4"/>
  <c r="B66" i="4"/>
  <c r="D72" i="4" s="1"/>
  <c r="C65" i="4"/>
  <c r="B65" i="4"/>
  <c r="D71" i="4" s="1"/>
  <c r="C64" i="4"/>
  <c r="B64" i="4"/>
  <c r="D70" i="4" s="1"/>
  <c r="C63" i="4"/>
  <c r="B63" i="4"/>
  <c r="D69" i="4" s="1"/>
  <c r="C62" i="4"/>
  <c r="B62" i="4"/>
  <c r="D68" i="4" s="1"/>
  <c r="C61" i="4"/>
  <c r="B61" i="4"/>
  <c r="D67" i="4" s="1"/>
  <c r="C60" i="4"/>
  <c r="B60" i="4"/>
  <c r="D66" i="4" s="1"/>
  <c r="C59" i="4"/>
  <c r="B59" i="4"/>
  <c r="D65" i="4" s="1"/>
  <c r="C58" i="4"/>
  <c r="B58" i="4"/>
  <c r="D64" i="4" s="1"/>
  <c r="C57" i="4"/>
  <c r="B57" i="4"/>
  <c r="D63" i="4" s="1"/>
  <c r="C56" i="4"/>
  <c r="B56" i="4"/>
  <c r="D62" i="4" s="1"/>
  <c r="C55" i="4"/>
  <c r="B55" i="4"/>
  <c r="D61" i="4" s="1"/>
  <c r="C54" i="4"/>
  <c r="B54" i="4"/>
  <c r="D60" i="4" s="1"/>
  <c r="C53" i="4"/>
  <c r="B53" i="4"/>
  <c r="D59" i="4" s="1"/>
  <c r="C52" i="4"/>
  <c r="B52" i="4"/>
  <c r="D58" i="4" s="1"/>
  <c r="C51" i="4"/>
  <c r="B51" i="4"/>
  <c r="D57" i="4" s="1"/>
  <c r="C50" i="4"/>
  <c r="B50" i="4"/>
  <c r="D56" i="4" s="1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D48" i="4" s="1"/>
  <c r="C41" i="4"/>
  <c r="B41" i="4"/>
  <c r="D47" i="4" s="1"/>
  <c r="C40" i="4"/>
  <c r="B40" i="4"/>
  <c r="D46" i="4" s="1"/>
  <c r="C39" i="4"/>
  <c r="B39" i="4"/>
  <c r="D45" i="4" s="1"/>
  <c r="C38" i="4"/>
  <c r="B38" i="4"/>
  <c r="D44" i="4" s="1"/>
  <c r="C37" i="4"/>
  <c r="B37" i="4"/>
  <c r="D43" i="4" s="1"/>
  <c r="C36" i="4"/>
  <c r="B36" i="4"/>
  <c r="D42" i="4" s="1"/>
  <c r="C35" i="4"/>
  <c r="B35" i="4"/>
  <c r="D41" i="4" s="1"/>
  <c r="C34" i="4"/>
  <c r="B34" i="4"/>
  <c r="D40" i="4" s="1"/>
  <c r="C33" i="4"/>
  <c r="B33" i="4"/>
  <c r="D39" i="4" s="1"/>
  <c r="C32" i="4"/>
  <c r="B32" i="4"/>
  <c r="D38" i="4" s="1"/>
  <c r="C31" i="4"/>
  <c r="B31" i="4"/>
  <c r="D37" i="4" s="1"/>
  <c r="C30" i="4"/>
  <c r="B30" i="4"/>
  <c r="D36" i="4" s="1"/>
  <c r="C29" i="4"/>
  <c r="B29" i="4"/>
  <c r="D35" i="4" s="1"/>
  <c r="C28" i="4"/>
  <c r="B28" i="4"/>
  <c r="D34" i="4" s="1"/>
  <c r="G27" i="4"/>
  <c r="C27" i="4"/>
  <c r="B27" i="4"/>
  <c r="D33" i="4" s="1"/>
  <c r="G26" i="4"/>
  <c r="C26" i="4"/>
  <c r="B26" i="4"/>
  <c r="G25" i="4"/>
  <c r="C25" i="4"/>
  <c r="B25" i="4"/>
  <c r="G24" i="4"/>
  <c r="C24" i="4"/>
  <c r="B24" i="4"/>
  <c r="G23" i="4"/>
  <c r="C23" i="4"/>
  <c r="B23" i="4"/>
  <c r="G22" i="4"/>
  <c r="C22" i="4"/>
  <c r="B22" i="4"/>
  <c r="D28" i="4" s="1"/>
  <c r="G21" i="4"/>
  <c r="C21" i="4"/>
  <c r="B21" i="4"/>
  <c r="D27" i="4" s="1"/>
  <c r="G20" i="4"/>
  <c r="C20" i="4"/>
  <c r="B20" i="4"/>
  <c r="D26" i="4" s="1"/>
  <c r="G19" i="4"/>
  <c r="C19" i="4"/>
  <c r="B19" i="4"/>
  <c r="D25" i="4" s="1"/>
  <c r="G18" i="4"/>
  <c r="C18" i="4"/>
  <c r="B18" i="4"/>
  <c r="D24" i="4" s="1"/>
  <c r="G17" i="4"/>
  <c r="C17" i="4"/>
  <c r="B17" i="4"/>
  <c r="G16" i="4"/>
  <c r="C16" i="4"/>
  <c r="B16" i="4"/>
  <c r="G15" i="4"/>
  <c r="C15" i="4"/>
  <c r="B15" i="4"/>
  <c r="D21" i="4" s="1"/>
  <c r="G14" i="4"/>
  <c r="C14" i="4"/>
  <c r="B14" i="4"/>
  <c r="D20" i="4" s="1"/>
  <c r="G13" i="4"/>
  <c r="C13" i="4"/>
  <c r="B13" i="4"/>
  <c r="D19" i="4" s="1"/>
  <c r="G12" i="4"/>
  <c r="C12" i="4"/>
  <c r="B12" i="4"/>
  <c r="D18" i="4" s="1"/>
  <c r="G11" i="4"/>
  <c r="C11" i="4"/>
  <c r="B11" i="4"/>
  <c r="D17" i="4" s="1"/>
  <c r="G10" i="4"/>
  <c r="C10" i="4"/>
  <c r="B10" i="4"/>
  <c r="D16" i="4" s="1"/>
  <c r="G9" i="4"/>
  <c r="C9" i="4"/>
  <c r="B9" i="4"/>
  <c r="D15" i="4" s="1"/>
  <c r="G8" i="4"/>
  <c r="B8" i="4"/>
  <c r="G7" i="4"/>
  <c r="D7" i="4"/>
  <c r="B7" i="4"/>
  <c r="M6" i="4"/>
  <c r="G6" i="4"/>
  <c r="B6" i="4"/>
  <c r="M5" i="4"/>
  <c r="G5" i="4"/>
  <c r="B5" i="4"/>
  <c r="M4" i="4"/>
  <c r="G4" i="4"/>
  <c r="B4" i="4"/>
  <c r="M3" i="4"/>
  <c r="G3" i="4"/>
  <c r="B3" i="4"/>
  <c r="M2" i="4"/>
  <c r="G2" i="4"/>
  <c r="B2" i="4"/>
  <c r="B16" i="2"/>
  <c r="B15" i="2"/>
  <c r="B14" i="2"/>
  <c r="B13" i="2"/>
  <c r="B12" i="2"/>
  <c r="F9" i="2"/>
  <c r="C9" i="2"/>
  <c r="F8" i="2"/>
  <c r="C8" i="2"/>
  <c r="F7" i="2"/>
  <c r="C7" i="2"/>
  <c r="F6" i="2"/>
  <c r="C6" i="2"/>
  <c r="F5" i="2"/>
  <c r="C5" i="2"/>
  <c r="C10" i="2" s="1"/>
  <c r="D104" i="4" l="1"/>
  <c r="D103" i="4"/>
  <c r="D102" i="4"/>
  <c r="D101" i="4"/>
  <c r="D100" i="4"/>
  <c r="D99" i="4"/>
  <c r="D98" i="4"/>
  <c r="D86" i="4"/>
  <c r="D92" i="4"/>
  <c r="D91" i="4"/>
  <c r="D90" i="4"/>
  <c r="D89" i="4"/>
  <c r="D88" i="4"/>
  <c r="D87" i="4"/>
  <c r="D55" i="4"/>
  <c r="D54" i="4"/>
  <c r="D53" i="4"/>
  <c r="D52" i="4"/>
  <c r="D51" i="4"/>
  <c r="D50" i="4"/>
  <c r="D49" i="4"/>
  <c r="D31" i="4"/>
  <c r="D32" i="4"/>
  <c r="D29" i="4"/>
  <c r="D30" i="4"/>
  <c r="D23" i="4"/>
  <c r="D22" i="4"/>
  <c r="D8" i="4"/>
  <c r="D9" i="4"/>
  <c r="D10" i="4"/>
  <c r="D13" i="4"/>
  <c r="D14" i="4"/>
  <c r="D12" i="4"/>
  <c r="D11" i="4"/>
  <c r="D2" i="4"/>
  <c r="D6" i="4"/>
  <c r="D5" i="4"/>
  <c r="D4" i="4"/>
  <c r="D3" i="4"/>
  <c r="E9" i="2"/>
  <c r="D9" i="2"/>
  <c r="D8" i="2"/>
  <c r="E8" i="2"/>
  <c r="D7" i="2"/>
  <c r="E7" i="2"/>
  <c r="D6" i="2"/>
  <c r="E6" i="2"/>
  <c r="D5" i="1"/>
  <c r="B17" i="2"/>
  <c r="J2" i="4"/>
  <c r="B10" i="2"/>
  <c r="D5" i="2"/>
  <c r="E5" i="2"/>
  <c r="B18" i="2" l="1"/>
  <c r="B19" i="2"/>
  <c r="M5" i="1" s="1"/>
  <c r="J5" i="1"/>
  <c r="E10" i="2"/>
  <c r="G5" i="1" s="1"/>
  <c r="C2" i="4"/>
  <c r="C3" i="4"/>
  <c r="C4" i="4"/>
  <c r="C5" i="4"/>
  <c r="C6" i="4"/>
  <c r="C8" i="4"/>
  <c r="C7" i="4"/>
  <c r="D10" i="2"/>
  <c r="B22" i="2"/>
  <c r="B23" i="2"/>
  <c r="B20" i="2" l="1"/>
  <c r="B21" i="2"/>
  <c r="J3" i="4"/>
  <c r="A5" i="1"/>
</calcChain>
</file>

<file path=xl/sharedStrings.xml><?xml version="1.0" encoding="utf-8"?>
<sst xmlns="http://schemas.openxmlformats.org/spreadsheetml/2006/main" count="56" uniqueCount="40">
  <si>
    <t>لوحة متابعة قضاء الصلوات</t>
  </si>
  <si>
    <t>تتحدث تلقائيًا من ورقة «سجل»</t>
  </si>
  <si>
    <t>المتبقي</t>
  </si>
  <si>
    <t>تم قضاؤه</t>
  </si>
  <si>
    <t>الإنجاز</t>
  </si>
  <si>
    <t>المعدل اليومي</t>
  </si>
  <si>
    <t>الانتهاء المتوقع</t>
  </si>
  <si>
    <t>قضاء الصلوات الفائتة</t>
  </si>
  <si>
    <t>تاريخ البداية</t>
  </si>
  <si>
    <t>الصلاة</t>
  </si>
  <si>
    <t>الأصل</t>
  </si>
  <si>
    <t>نسبة الإنجاز</t>
  </si>
  <si>
    <t>آخر قضاء</t>
  </si>
  <si>
    <t>الفجر</t>
  </si>
  <si>
    <t>الظهر</t>
  </si>
  <si>
    <t>العصر</t>
  </si>
  <si>
    <t>المغرب</t>
  </si>
  <si>
    <t>العشاء</t>
  </si>
  <si>
    <t>المجموع</t>
  </si>
  <si>
    <t>قضاء اليوم</t>
  </si>
  <si>
    <t>قضاء آخر ٧ أيام</t>
  </si>
  <si>
    <t>قضاء هذا الشهر</t>
  </si>
  <si>
    <t>عدد الأيام من البداية</t>
  </si>
  <si>
    <t>أيام فيها قضاء</t>
  </si>
  <si>
    <t>الأيام المتبقية بهذا المعدل</t>
  </si>
  <si>
    <t>تاريخ الانتهاء المتوقع</t>
  </si>
  <si>
    <t>لو قضيت ٥ يوميًا تنتهي</t>
  </si>
  <si>
    <t>لو قضيت ١٠ يوميًا تنتهي</t>
  </si>
  <si>
    <t>الأقرب للانتهاء</t>
  </si>
  <si>
    <t>الأكثر متبقي</t>
  </si>
  <si>
    <t>طريقة الاستخدام: سطر واحد في ورقة «سجل» (التاريخ، الصلاة، العدد). كل شي ثاني يتحدث تلقائي.</t>
  </si>
  <si>
    <t>التاريخ</t>
  </si>
  <si>
    <t>العدد</t>
  </si>
  <si>
    <t>ملاحظة</t>
  </si>
  <si>
    <t>المتبقي (تراكمي)</t>
  </si>
  <si>
    <t>المتوسط المتحرك ٧ أيام</t>
  </si>
  <si>
    <t>الأسبوع</t>
  </si>
  <si>
    <t>قضاء الأسبوع</t>
  </si>
  <si>
    <t>الحالة</t>
  </si>
  <si>
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 | تحديث 2026-10-21 18:54: ظهر وعصر 10-21 فاتا (+1 لكل منهما) بقول محمد؛ المغرب بدأ 18:53 ولم يُضف (وقته مفتوح). | تحديث 2026-10-22 22:07 بقول محمد: أُضيف مغرب وعشاء 10-21 (+1 لكل منهما) وفرائض 10-22 الخمس (+1 لكل صلاة) لأنه لم يصلِّ فرضًا ولا قضاءً منذ آخر تعديل حتى عشاء 10-22 بتوقيت ماليزيا. المجموع صار 1913. | تحديث 2026-10-23 22:11 بقول محمد: أُضيفت فرائض 10-23 الخمس (+1 لكل صلاة) لأنه لم يصلِّ فرضًا ولا قضاءً منذ آخر تعديل حتى عشاء 10-23 بتوقيت ماليزيا. قضاء اليوم 0. المجموع صار 1918.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</si>
</sst>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20"/>
      <color rgb="FF1F4E78"/>
      <name val="Calibri"/>
    </font>
    <font>
      <i/>
      <sz val="11"/>
      <color rgb="FF7F7F7F"/>
      <name val="Calibri"/>
    </font>
    <font>
      <b/>
      <sz val="18"/>
      <color rgb="FFC00000"/>
      <name val="Calibri"/>
    </font>
    <font>
      <b/>
      <sz val="18"/>
      <color rgb="FF2E7D32"/>
      <name val="Calibri"/>
    </font>
    <font>
      <b/>
      <sz val="18"/>
      <color rgb="FF1F4E78"/>
      <name val="Calibri"/>
    </font>
    <font>
      <b/>
      <sz val="18"/>
      <color rgb="FF7B1FA2"/>
      <name val="Calibri"/>
    </font>
    <font>
      <b/>
      <sz val="18"/>
      <color rgb="FFE65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2E7D32"/>
      </patternFill>
    </fill>
    <fill>
      <patternFill patternType="solid">
        <fgColor rgb="FF7B1FA2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2" fontId="0" fillId="0" borderId="1" xfId="0" applyNumberFormat="1" applyBorder="1"/>
    <xf numFmtId="0" fontId="1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66" fontId="0" fillId="0" borderId="0" xfId="0" applyNumberFormat="1"/>
    <xf numFmtId="0" fontId="1" fillId="3" borderId="0" xfId="0" applyFont="1" applyFill="1"/>
    <xf numFmtId="0" fontId="0" fillId="0" borderId="0" xfId="0"/>
    <xf numFmtId="0" fontId="1" fillId="2" borderId="0" xfId="0" applyFont="1" applyFill="1"/>
    <xf numFmtId="0" fontId="1" fillId="5" borderId="0" xfId="0" applyFont="1" applyFill="1"/>
    <xf numFmtId="2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1" fillId="4" borderId="0" xfId="0" applyFont="1" applyFill="1"/>
    <xf numFmtId="164" fontId="10" fillId="0" borderId="0" xfId="0" applyNumberFormat="1" applyFont="1" applyAlignment="1">
      <alignment horizontal="center"/>
    </xf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التقدّم لكل صلاة: تم / متبقي</a:t>
            </a:r>
          </a:p>
        </c:rich>
      </c:tx>
      <c:overlay val="1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ملخص!$C$4</c:f>
              <c:strCache>
                <c:ptCount val="1"/>
                <c:pt idx="0">
                  <c:v>تم قضاؤه</c:v>
                </c:pt>
              </c:strCache>
            </c:strRef>
          </c:tx>
          <c:spPr>
            <a:solidFill>
              <a:srgbClr val="2E7D32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AE-4EB4-81AE-E395DDC520DF}"/>
            </c:ext>
          </c:extLst>
        </c:ser>
        <c:ser>
          <c:idx val="1"/>
          <c:order val="1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E0E0E0"/>
            </a:solidFill>
            <a:ln>
              <a:prstDash val="solid"/>
            </a:ln>
          </c:spPr>
          <c:invertIfNegative val="1"/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279</c:v>
                </c:pt>
                <c:pt idx="1">
                  <c:v>365</c:v>
                </c:pt>
                <c:pt idx="2">
                  <c:v>407</c:v>
                </c:pt>
                <c:pt idx="3">
                  <c:v>410</c:v>
                </c:pt>
                <c:pt idx="4">
                  <c:v>457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AE-4EB4-81AE-E395DDC52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الإنجاز الكلي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بيانات!$J$1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A97-4A20-91A3-40B222424AB9}"/>
              </c:ext>
            </c:extLst>
          </c:dPt>
          <c:dPt>
            <c:idx val="1"/>
            <c:bubble3D val="0"/>
            <c:spPr>
              <a:solidFill>
                <a:srgbClr val="E0E0E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A97-4A20-91A3-40B222424AB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بيانات!$I$2:$I$3</c:f>
              <c:strCache>
                <c:ptCount val="2"/>
                <c:pt idx="0">
                  <c:v>تم قضاؤه</c:v>
                </c:pt>
                <c:pt idx="1">
                  <c:v>المتبقي</c:v>
                </c:pt>
              </c:strCache>
            </c:strRef>
          </c:cat>
          <c:val>
            <c:numRef>
              <c:f>بيانات!$J$2:$J$3</c:f>
              <c:numCache>
                <c:formatCode>General</c:formatCode>
                <c:ptCount val="2"/>
                <c:pt idx="0">
                  <c:v>0</c:v>
                </c:pt>
                <c:pt idx="1">
                  <c:v>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7-4A20-91A3-40B222424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مع الوقت (منحنى الإنجاز)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بيانات!$C$1</c:f>
              <c:strCache>
                <c:ptCount val="1"/>
                <c:pt idx="0">
                  <c:v>المتبقي (تراكمي)</c:v>
                </c:pt>
              </c:strCache>
            </c:strRef>
          </c:tx>
          <c:spPr>
            <a:ln w="280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بيانات!$C$2:$C$121</c:f>
              <c:numCache>
                <c:formatCode>General</c:formatCode>
                <c:ptCount val="120"/>
                <c:pt idx="0">
                  <c:v>1918</c:v>
                </c:pt>
                <c:pt idx="1">
                  <c:v>1918</c:v>
                </c:pt>
                <c:pt idx="2">
                  <c:v>1918</c:v>
                </c:pt>
                <c:pt idx="3">
                  <c:v>1918</c:v>
                </c:pt>
                <c:pt idx="4">
                  <c:v>1918</c:v>
                </c:pt>
                <c:pt idx="5">
                  <c:v>1918</c:v>
                </c:pt>
                <c:pt idx="6">
                  <c:v>1918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914-4D31-8C3F-6C3E41E8B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متبقي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اليومي + متوسط ٧ أيام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بيانات!$B$1</c:f>
              <c:strCache>
                <c:ptCount val="1"/>
                <c:pt idx="0">
                  <c:v>قضاء اليوم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cat>
            <c:numRef>
              <c:f>بيانات!$A$2:$A$121</c:f>
              <c:numCache>
                <c:formatCode>mm\-dd</c:formatCode>
                <c:ptCount val="120"/>
                <c:pt idx="0">
                  <c:v>46312</c:v>
                </c:pt>
                <c:pt idx="1">
                  <c:v>46313</c:v>
                </c:pt>
                <c:pt idx="2">
                  <c:v>46314</c:v>
                </c:pt>
                <c:pt idx="3">
                  <c:v>46315</c:v>
                </c:pt>
                <c:pt idx="4">
                  <c:v>46316</c:v>
                </c:pt>
                <c:pt idx="5">
                  <c:v>46317</c:v>
                </c:pt>
                <c:pt idx="6">
                  <c:v>46318</c:v>
                </c:pt>
                <c:pt idx="7">
                  <c:v>46319</c:v>
                </c:pt>
                <c:pt idx="8">
                  <c:v>46320</c:v>
                </c:pt>
                <c:pt idx="9">
                  <c:v>46321</c:v>
                </c:pt>
                <c:pt idx="10">
                  <c:v>46322</c:v>
                </c:pt>
                <c:pt idx="11">
                  <c:v>46323</c:v>
                </c:pt>
                <c:pt idx="12">
                  <c:v>46324</c:v>
                </c:pt>
                <c:pt idx="13">
                  <c:v>46325</c:v>
                </c:pt>
                <c:pt idx="14">
                  <c:v>46326</c:v>
                </c:pt>
                <c:pt idx="15">
                  <c:v>46327</c:v>
                </c:pt>
                <c:pt idx="16">
                  <c:v>46328</c:v>
                </c:pt>
                <c:pt idx="17">
                  <c:v>46329</c:v>
                </c:pt>
                <c:pt idx="18">
                  <c:v>46330</c:v>
                </c:pt>
                <c:pt idx="19">
                  <c:v>46331</c:v>
                </c:pt>
                <c:pt idx="20">
                  <c:v>46332</c:v>
                </c:pt>
                <c:pt idx="21">
                  <c:v>46333</c:v>
                </c:pt>
                <c:pt idx="22">
                  <c:v>46334</c:v>
                </c:pt>
                <c:pt idx="23">
                  <c:v>46335</c:v>
                </c:pt>
                <c:pt idx="24">
                  <c:v>46336</c:v>
                </c:pt>
                <c:pt idx="25">
                  <c:v>46337</c:v>
                </c:pt>
                <c:pt idx="26">
                  <c:v>46338</c:v>
                </c:pt>
                <c:pt idx="27">
                  <c:v>46339</c:v>
                </c:pt>
                <c:pt idx="28">
                  <c:v>46340</c:v>
                </c:pt>
                <c:pt idx="29">
                  <c:v>46341</c:v>
                </c:pt>
                <c:pt idx="30">
                  <c:v>46342</c:v>
                </c:pt>
                <c:pt idx="31">
                  <c:v>46343</c:v>
                </c:pt>
                <c:pt idx="32">
                  <c:v>46344</c:v>
                </c:pt>
                <c:pt idx="33">
                  <c:v>46345</c:v>
                </c:pt>
                <c:pt idx="34">
                  <c:v>46346</c:v>
                </c:pt>
                <c:pt idx="35">
                  <c:v>46347</c:v>
                </c:pt>
                <c:pt idx="36">
                  <c:v>46348</c:v>
                </c:pt>
                <c:pt idx="37">
                  <c:v>46349</c:v>
                </c:pt>
                <c:pt idx="38">
                  <c:v>46350</c:v>
                </c:pt>
                <c:pt idx="39">
                  <c:v>46351</c:v>
                </c:pt>
                <c:pt idx="40">
                  <c:v>46352</c:v>
                </c:pt>
                <c:pt idx="41">
                  <c:v>46353</c:v>
                </c:pt>
                <c:pt idx="42">
                  <c:v>46354</c:v>
                </c:pt>
                <c:pt idx="43">
                  <c:v>46355</c:v>
                </c:pt>
                <c:pt idx="44">
                  <c:v>46356</c:v>
                </c:pt>
                <c:pt idx="45">
                  <c:v>46357</c:v>
                </c:pt>
                <c:pt idx="46">
                  <c:v>46358</c:v>
                </c:pt>
                <c:pt idx="47">
                  <c:v>46359</c:v>
                </c:pt>
                <c:pt idx="48">
                  <c:v>46360</c:v>
                </c:pt>
                <c:pt idx="49">
                  <c:v>46361</c:v>
                </c:pt>
                <c:pt idx="50">
                  <c:v>46362</c:v>
                </c:pt>
                <c:pt idx="51">
                  <c:v>46363</c:v>
                </c:pt>
                <c:pt idx="52">
                  <c:v>46364</c:v>
                </c:pt>
                <c:pt idx="53">
                  <c:v>46365</c:v>
                </c:pt>
                <c:pt idx="54">
                  <c:v>46366</c:v>
                </c:pt>
                <c:pt idx="55">
                  <c:v>46367</c:v>
                </c:pt>
                <c:pt idx="56">
                  <c:v>46368</c:v>
                </c:pt>
                <c:pt idx="57">
                  <c:v>46369</c:v>
                </c:pt>
                <c:pt idx="58">
                  <c:v>46370</c:v>
                </c:pt>
                <c:pt idx="59">
                  <c:v>46371</c:v>
                </c:pt>
                <c:pt idx="60">
                  <c:v>46372</c:v>
                </c:pt>
                <c:pt idx="61">
                  <c:v>46373</c:v>
                </c:pt>
                <c:pt idx="62">
                  <c:v>46374</c:v>
                </c:pt>
                <c:pt idx="63">
                  <c:v>46375</c:v>
                </c:pt>
                <c:pt idx="64">
                  <c:v>46376</c:v>
                </c:pt>
                <c:pt idx="65">
                  <c:v>46377</c:v>
                </c:pt>
                <c:pt idx="66">
                  <c:v>46378</c:v>
                </c:pt>
                <c:pt idx="67">
                  <c:v>46379</c:v>
                </c:pt>
                <c:pt idx="68">
                  <c:v>46380</c:v>
                </c:pt>
                <c:pt idx="69">
                  <c:v>46381</c:v>
                </c:pt>
                <c:pt idx="70">
                  <c:v>46382</c:v>
                </c:pt>
                <c:pt idx="71">
                  <c:v>46383</c:v>
                </c:pt>
                <c:pt idx="72">
                  <c:v>46384</c:v>
                </c:pt>
                <c:pt idx="73">
                  <c:v>46385</c:v>
                </c:pt>
                <c:pt idx="74">
                  <c:v>46386</c:v>
                </c:pt>
                <c:pt idx="75">
                  <c:v>46387</c:v>
                </c:pt>
                <c:pt idx="76">
                  <c:v>46388</c:v>
                </c:pt>
                <c:pt idx="77">
                  <c:v>46389</c:v>
                </c:pt>
                <c:pt idx="78">
                  <c:v>46390</c:v>
                </c:pt>
                <c:pt idx="79">
                  <c:v>46391</c:v>
                </c:pt>
                <c:pt idx="80">
                  <c:v>46392</c:v>
                </c:pt>
                <c:pt idx="81">
                  <c:v>46393</c:v>
                </c:pt>
                <c:pt idx="82">
                  <c:v>46394</c:v>
                </c:pt>
                <c:pt idx="83">
                  <c:v>46395</c:v>
                </c:pt>
                <c:pt idx="84">
                  <c:v>46396</c:v>
                </c:pt>
                <c:pt idx="85">
                  <c:v>46397</c:v>
                </c:pt>
                <c:pt idx="86">
                  <c:v>46398</c:v>
                </c:pt>
                <c:pt idx="87">
                  <c:v>46399</c:v>
                </c:pt>
                <c:pt idx="88">
                  <c:v>46400</c:v>
                </c:pt>
                <c:pt idx="89">
                  <c:v>46401</c:v>
                </c:pt>
                <c:pt idx="90">
                  <c:v>46402</c:v>
                </c:pt>
                <c:pt idx="91">
                  <c:v>46403</c:v>
                </c:pt>
                <c:pt idx="92">
                  <c:v>46404</c:v>
                </c:pt>
                <c:pt idx="93">
                  <c:v>46405</c:v>
                </c:pt>
                <c:pt idx="94">
                  <c:v>46406</c:v>
                </c:pt>
                <c:pt idx="95">
                  <c:v>46407</c:v>
                </c:pt>
                <c:pt idx="96">
                  <c:v>46408</c:v>
                </c:pt>
                <c:pt idx="97">
                  <c:v>46409</c:v>
                </c:pt>
                <c:pt idx="98">
                  <c:v>46410</c:v>
                </c:pt>
                <c:pt idx="99">
                  <c:v>46411</c:v>
                </c:pt>
                <c:pt idx="100">
                  <c:v>46412</c:v>
                </c:pt>
                <c:pt idx="101">
                  <c:v>46413</c:v>
                </c:pt>
                <c:pt idx="102">
                  <c:v>46414</c:v>
                </c:pt>
                <c:pt idx="103">
                  <c:v>46415</c:v>
                </c:pt>
                <c:pt idx="104">
                  <c:v>46416</c:v>
                </c:pt>
                <c:pt idx="105">
                  <c:v>46417</c:v>
                </c:pt>
                <c:pt idx="106">
                  <c:v>46418</c:v>
                </c:pt>
                <c:pt idx="107">
                  <c:v>46419</c:v>
                </c:pt>
                <c:pt idx="108">
                  <c:v>46420</c:v>
                </c:pt>
                <c:pt idx="109">
                  <c:v>46421</c:v>
                </c:pt>
                <c:pt idx="110">
                  <c:v>46422</c:v>
                </c:pt>
                <c:pt idx="111">
                  <c:v>46423</c:v>
                </c:pt>
                <c:pt idx="112">
                  <c:v>46424</c:v>
                </c:pt>
                <c:pt idx="113">
                  <c:v>46425</c:v>
                </c:pt>
                <c:pt idx="114">
                  <c:v>46426</c:v>
                </c:pt>
                <c:pt idx="115">
                  <c:v>46427</c:v>
                </c:pt>
                <c:pt idx="116">
                  <c:v>46428</c:v>
                </c:pt>
                <c:pt idx="117">
                  <c:v>46429</c:v>
                </c:pt>
                <c:pt idx="118">
                  <c:v>46430</c:v>
                </c:pt>
                <c:pt idx="119">
                  <c:v>46431</c:v>
                </c:pt>
              </c:numCache>
            </c:numRef>
          </c:cat>
          <c:val>
            <c:numRef>
              <c:f>بيانات!$B$2:$B$121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بيانات!$D$1</c:f>
              <c:strCache>
                <c:ptCount val="1"/>
                <c:pt idx="0">
                  <c:v>المتوسط المتحرك ٧ أيام</c:v>
                </c:pt>
              </c:strCache>
            </c:strRef>
          </c:tx>
          <c:spPr>
            <a:ln>
              <a:solidFill>
                <a:srgbClr val="E65100"/>
              </a:solidFill>
              <a:prstDash val="solid"/>
            </a:ln>
          </c:spPr>
          <c:marker>
            <c:symbol val="none"/>
          </c:marker>
          <c:val>
            <c:numRef>
              <c:f>بيانات!$D$2:$D$121</c:f>
              <c:numCache>
                <c:formatCode>General</c:formatCode>
                <c:ptCount val="1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DD9-4089-ACD7-F9BF6A2B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القضاء الأسبوعي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بيانات!$G$1</c:f>
              <c:strCache>
                <c:ptCount val="1"/>
                <c:pt idx="0">
                  <c:v>قضاء الأسبوع</c:v>
                </c:pt>
              </c:strCache>
            </c:strRef>
          </c:tx>
          <c:spPr>
            <a:solidFill>
              <a:srgbClr val="7B1FA2"/>
            </a:solidFill>
            <a:ln>
              <a:prstDash val="solid"/>
            </a:ln>
          </c:spPr>
          <c:invertIfNegative val="1"/>
          <c:cat>
            <c:numRef>
              <c:f>بيانات!$F$2:$F$27</c:f>
              <c:numCache>
                <c:formatCode>mm\-dd</c:formatCode>
                <c:ptCount val="26"/>
                <c:pt idx="0">
                  <c:v>46312</c:v>
                </c:pt>
                <c:pt idx="1">
                  <c:v>46319</c:v>
                </c:pt>
                <c:pt idx="2">
                  <c:v>46326</c:v>
                </c:pt>
                <c:pt idx="3">
                  <c:v>46333</c:v>
                </c:pt>
                <c:pt idx="4">
                  <c:v>46340</c:v>
                </c:pt>
                <c:pt idx="5">
                  <c:v>46347</c:v>
                </c:pt>
                <c:pt idx="6">
                  <c:v>46354</c:v>
                </c:pt>
                <c:pt idx="7">
                  <c:v>46361</c:v>
                </c:pt>
                <c:pt idx="8">
                  <c:v>46368</c:v>
                </c:pt>
                <c:pt idx="9">
                  <c:v>46375</c:v>
                </c:pt>
                <c:pt idx="10">
                  <c:v>46382</c:v>
                </c:pt>
                <c:pt idx="11">
                  <c:v>46389</c:v>
                </c:pt>
                <c:pt idx="12">
                  <c:v>46396</c:v>
                </c:pt>
                <c:pt idx="13">
                  <c:v>46403</c:v>
                </c:pt>
                <c:pt idx="14">
                  <c:v>46410</c:v>
                </c:pt>
                <c:pt idx="15">
                  <c:v>46417</c:v>
                </c:pt>
                <c:pt idx="16">
                  <c:v>46424</c:v>
                </c:pt>
                <c:pt idx="17">
                  <c:v>46431</c:v>
                </c:pt>
                <c:pt idx="18">
                  <c:v>46438</c:v>
                </c:pt>
                <c:pt idx="19">
                  <c:v>46445</c:v>
                </c:pt>
                <c:pt idx="20">
                  <c:v>46452</c:v>
                </c:pt>
                <c:pt idx="21">
                  <c:v>46459</c:v>
                </c:pt>
                <c:pt idx="22">
                  <c:v>46466</c:v>
                </c:pt>
                <c:pt idx="23">
                  <c:v>46473</c:v>
                </c:pt>
                <c:pt idx="24">
                  <c:v>46480</c:v>
                </c:pt>
                <c:pt idx="25">
                  <c:v>46487</c:v>
                </c:pt>
              </c:numCache>
            </c:numRef>
          </c:cat>
          <c:val>
            <c:numRef>
              <c:f>بيانات!$G$2:$G$27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E7-4096-8057-01283761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r-SA"/>
              <a:t>المتبقي لكل صلاة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ملخص!$D$4</c:f>
              <c:strCache>
                <c:ptCount val="1"/>
                <c:pt idx="0">
                  <c:v>المتبقي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ملخص!$A$5:$A$9</c:f>
              <c:strCache>
                <c:ptCount val="5"/>
                <c:pt idx="0">
                  <c:v>الفجر</c:v>
                </c:pt>
                <c:pt idx="1">
                  <c:v>الظهر</c:v>
                </c:pt>
                <c:pt idx="2">
                  <c:v>العصر</c:v>
                </c:pt>
                <c:pt idx="3">
                  <c:v>المغرب</c:v>
                </c:pt>
                <c:pt idx="4">
                  <c:v>العشاء</c:v>
                </c:pt>
              </c:strCache>
            </c:strRef>
          </c:cat>
          <c:val>
            <c:numRef>
              <c:f>ملخص!$D$5:$D$9</c:f>
              <c:numCache>
                <c:formatCode>General</c:formatCode>
                <c:ptCount val="5"/>
                <c:pt idx="0">
                  <c:v>279</c:v>
                </c:pt>
                <c:pt idx="1">
                  <c:v>365</c:v>
                </c:pt>
                <c:pt idx="2">
                  <c:v>407</c:v>
                </c:pt>
                <c:pt idx="3">
                  <c:v>410</c:v>
                </c:pt>
                <c:pt idx="4">
                  <c:v>457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00-43A6-AC19-05FFB1B19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6</xdr:row>
      <xdr:rowOff>0</xdr:rowOff>
    </xdr:from>
    <xdr:ext cx="32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576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324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576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324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rightToLeft="1" tabSelected="1" workbookViewId="0"/>
  </sheetViews>
  <sheetFormatPr defaultRowHeight="15" x14ac:dyDescent="0.25"/>
  <sheetData>
    <row r="1" spans="1:14" ht="26.25" x14ac:dyDescent="0.4">
      <c r="A1" s="10" t="s">
        <v>0</v>
      </c>
    </row>
    <row r="2" spans="1:14" x14ac:dyDescent="0.25">
      <c r="A2" s="11" t="s">
        <v>1</v>
      </c>
    </row>
    <row r="4" spans="1:14" x14ac:dyDescent="0.25">
      <c r="A4" s="13" t="s">
        <v>2</v>
      </c>
      <c r="B4" s="14"/>
      <c r="D4" s="21" t="s">
        <v>3</v>
      </c>
      <c r="E4" s="14"/>
      <c r="G4" s="15" t="s">
        <v>4</v>
      </c>
      <c r="H4" s="14"/>
      <c r="J4" s="16" t="s">
        <v>5</v>
      </c>
      <c r="K4" s="14"/>
      <c r="M4" s="23" t="s">
        <v>6</v>
      </c>
      <c r="N4" s="14"/>
    </row>
    <row r="5" spans="1:14" ht="32.1" customHeight="1" x14ac:dyDescent="0.35">
      <c r="A5" s="19">
        <f>ملخص!D10</f>
        <v>1918</v>
      </c>
      <c r="B5" s="14"/>
      <c r="D5" s="18">
        <f>ملخص!C10</f>
        <v>0</v>
      </c>
      <c r="E5" s="14"/>
      <c r="G5" s="20">
        <f>ملخص!E10</f>
        <v>0</v>
      </c>
      <c r="H5" s="14"/>
      <c r="J5" s="17">
        <f ca="1">ملخص!B17</f>
        <v>0</v>
      </c>
      <c r="K5" s="14"/>
      <c r="M5" s="22" t="str">
        <f ca="1">ملخص!B19</f>
        <v>—</v>
      </c>
      <c r="N5" s="14"/>
    </row>
  </sheetData>
  <mergeCells count="10">
    <mergeCell ref="M5:N5"/>
    <mergeCell ref="M4:N4"/>
    <mergeCell ref="A4:B4"/>
    <mergeCell ref="G4:H4"/>
    <mergeCell ref="J4:K4"/>
    <mergeCell ref="J5:K5"/>
    <mergeCell ref="D5:E5"/>
    <mergeCell ref="A5:B5"/>
    <mergeCell ref="G5:H5"/>
    <mergeCell ref="D4:E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rightToLeft="1" workbookViewId="0"/>
  </sheetViews>
  <sheetFormatPr defaultRowHeight="15" x14ac:dyDescent="0.25"/>
  <cols>
    <col min="1" max="1" width="26" customWidth="1"/>
    <col min="2" max="2" width="14" customWidth="1"/>
    <col min="3" max="4" width="12" customWidth="1"/>
    <col min="5" max="6" width="14" customWidth="1"/>
  </cols>
  <sheetData>
    <row r="1" spans="1:6" ht="21" x14ac:dyDescent="0.35">
      <c r="A1" s="24" t="s">
        <v>7</v>
      </c>
      <c r="B1" s="14"/>
      <c r="C1" s="14"/>
      <c r="D1" s="14"/>
      <c r="E1" s="14"/>
      <c r="F1" s="14"/>
    </row>
    <row r="2" spans="1:6" x14ac:dyDescent="0.25">
      <c r="A2" t="s">
        <v>8</v>
      </c>
      <c r="B2" s="1">
        <v>46312</v>
      </c>
    </row>
    <row r="4" spans="1:6" x14ac:dyDescent="0.25">
      <c r="A4" s="2" t="s">
        <v>9</v>
      </c>
      <c r="B4" s="2" t="s">
        <v>10</v>
      </c>
      <c r="C4" s="2" t="s">
        <v>3</v>
      </c>
      <c r="D4" s="2" t="s">
        <v>2</v>
      </c>
      <c r="E4" s="2" t="s">
        <v>11</v>
      </c>
      <c r="F4" s="2" t="s">
        <v>12</v>
      </c>
    </row>
    <row r="5" spans="1:6" x14ac:dyDescent="0.25">
      <c r="A5" s="3" t="s">
        <v>13</v>
      </c>
      <c r="B5" s="3">
        <f>273+4+1+1</f>
        <v>279</v>
      </c>
      <c r="C5" s="3">
        <f>SUMIFS(سجل!$C:$C,سجل!$B:$B,A5)</f>
        <v>0</v>
      </c>
      <c r="D5" s="3">
        <f>MAX(0,B5-C5)</f>
        <v>279</v>
      </c>
      <c r="E5" s="4">
        <f t="shared" ref="E5:E10" si="0">IF(B5=0,0,C5/B5)</f>
        <v>0</v>
      </c>
      <c r="F5" s="5" t="str">
        <f>IFERROR(LOOKUP(2,1/(سجل!$B$2:$B$5000=A5),سجل!$A$2:$A$5000),"")</f>
        <v/>
      </c>
    </row>
    <row r="6" spans="1:6" x14ac:dyDescent="0.25">
      <c r="A6" s="3" t="s">
        <v>14</v>
      </c>
      <c r="B6" s="3">
        <f>358+4+1+1+1</f>
        <v>365</v>
      </c>
      <c r="C6" s="3">
        <f>SUMIFS(سجل!$C:$C,سجل!$B:$B,A6)</f>
        <v>0</v>
      </c>
      <c r="D6" s="3">
        <f>MAX(0,B6-C6)</f>
        <v>365</v>
      </c>
      <c r="E6" s="4">
        <f t="shared" si="0"/>
        <v>0</v>
      </c>
      <c r="F6" s="5" t="str">
        <f>IFERROR(LOOKUP(2,1/(سجل!$B$2:$B$5000=A6),سجل!$A$2:$A$5000),"")</f>
        <v/>
      </c>
    </row>
    <row r="7" spans="1:6" x14ac:dyDescent="0.25">
      <c r="A7" s="3" t="s">
        <v>15</v>
      </c>
      <c r="B7" s="3">
        <f>400+4+1+1+1</f>
        <v>407</v>
      </c>
      <c r="C7" s="3">
        <f>SUMIFS(سجل!$C:$C,سجل!$B:$B,A7)</f>
        <v>0</v>
      </c>
      <c r="D7" s="3">
        <f>MAX(0,B7-C7)</f>
        <v>407</v>
      </c>
      <c r="E7" s="4">
        <f t="shared" si="0"/>
        <v>0</v>
      </c>
      <c r="F7" s="5" t="str">
        <f>IFERROR(LOOKUP(2,1/(سجل!$B$2:$B$5000=A7),سجل!$A$2:$A$5000),"")</f>
        <v/>
      </c>
    </row>
    <row r="8" spans="1:6" x14ac:dyDescent="0.25">
      <c r="A8" s="3" t="s">
        <v>16</v>
      </c>
      <c r="B8" s="3">
        <f>403+4+1+1+1</f>
        <v>410</v>
      </c>
      <c r="C8" s="3">
        <f>SUMIFS(سجل!$C:$C,سجل!$B:$B,A8)</f>
        <v>0</v>
      </c>
      <c r="D8" s="3">
        <f>MAX(0,B8-C8)</f>
        <v>410</v>
      </c>
      <c r="E8" s="4">
        <f t="shared" si="0"/>
        <v>0</v>
      </c>
      <c r="F8" s="5" t="str">
        <f>IFERROR(LOOKUP(2,1/(سجل!$B$2:$B$5000=A8),سجل!$A$2:$A$5000),"")</f>
        <v/>
      </c>
    </row>
    <row r="9" spans="1:6" x14ac:dyDescent="0.25">
      <c r="A9" s="3" t="s">
        <v>17</v>
      </c>
      <c r="B9" s="3">
        <f>450+4+1+1+1</f>
        <v>457</v>
      </c>
      <c r="C9" s="3">
        <f>SUMIFS(سجل!$C:$C,سجل!$B:$B,A9)</f>
        <v>0</v>
      </c>
      <c r="D9" s="3">
        <f>MAX(0,B9-C9)</f>
        <v>457</v>
      </c>
      <c r="E9" s="4">
        <f t="shared" si="0"/>
        <v>0</v>
      </c>
      <c r="F9" s="5" t="str">
        <f>IFERROR(LOOKUP(2,1/(سجل!$B$2:$B$5000=A9),سجل!$A$2:$A$5000),"")</f>
        <v/>
      </c>
    </row>
    <row r="10" spans="1:6" x14ac:dyDescent="0.25">
      <c r="A10" s="6" t="s">
        <v>18</v>
      </c>
      <c r="B10" s="6">
        <f>SUM(B5:B9)</f>
        <v>1918</v>
      </c>
      <c r="C10" s="6">
        <f>SUM(C5:C9)</f>
        <v>0</v>
      </c>
      <c r="D10" s="6">
        <f>SUM(D5:D9)</f>
        <v>1918</v>
      </c>
      <c r="E10" s="7">
        <f t="shared" si="0"/>
        <v>0</v>
      </c>
      <c r="F10" s="6"/>
    </row>
    <row r="12" spans="1:6" x14ac:dyDescent="0.25">
      <c r="A12" s="6" t="s">
        <v>19</v>
      </c>
      <c r="B12" s="3">
        <f ca="1">SUMIFS(سجل!$C:$C,سجل!$A:$A,TODAY())</f>
        <v>0</v>
      </c>
    </row>
    <row r="13" spans="1:6" x14ac:dyDescent="0.25">
      <c r="A13" s="6" t="s">
        <v>20</v>
      </c>
      <c r="B13" s="3">
        <f ca="1">SUMIFS(سجل!$C:$C,سجل!$A:$A,"&gt;="&amp;(TODAY()-6))</f>
        <v>0</v>
      </c>
    </row>
    <row r="14" spans="1:6" x14ac:dyDescent="0.25">
      <c r="A14" s="6" t="s">
        <v>21</v>
      </c>
      <c r="B14" s="3">
        <f ca="1">SUMIFS(سجل!$C:$C,سجل!$A:$A,"&gt;="&amp;DATE(YEAR(TODAY()),MONTH(TODAY()),1))</f>
        <v>0</v>
      </c>
    </row>
    <row r="15" spans="1:6" x14ac:dyDescent="0.25">
      <c r="A15" s="6" t="s">
        <v>22</v>
      </c>
      <c r="B15" s="3">
        <f ca="1">MAX(1,TODAY()-B2+1)</f>
        <v>7</v>
      </c>
    </row>
    <row r="16" spans="1:6" x14ac:dyDescent="0.25">
      <c r="A16" s="6" t="s">
        <v>23</v>
      </c>
      <c r="B16" s="3">
        <f>SUMPRODUCT(--(FREQUENCY(سجل!$A$2:$A$5000,سجل!$A$2:$A$5000)&gt;0))</f>
        <v>0</v>
      </c>
    </row>
    <row r="17" spans="1:2" x14ac:dyDescent="0.25">
      <c r="A17" s="6" t="s">
        <v>5</v>
      </c>
      <c r="B17" s="8">
        <f ca="1">C10/B15</f>
        <v>0</v>
      </c>
    </row>
    <row r="18" spans="1:2" x14ac:dyDescent="0.25">
      <c r="A18" s="6" t="s">
        <v>24</v>
      </c>
      <c r="B18" s="3" t="str">
        <f ca="1">IF(B17=0,"ابدأ القضاء",ROUNDUP(D10/B17,0))</f>
        <v>ابدأ القضاء</v>
      </c>
    </row>
    <row r="19" spans="1:2" x14ac:dyDescent="0.25">
      <c r="A19" s="6" t="s">
        <v>25</v>
      </c>
      <c r="B19" s="5" t="str">
        <f ca="1">IF(B17=0,"—",TODAY()+B18)</f>
        <v>—</v>
      </c>
    </row>
    <row r="20" spans="1:2" x14ac:dyDescent="0.25">
      <c r="A20" s="6" t="s">
        <v>26</v>
      </c>
      <c r="B20" s="5">
        <f ca="1">TODAY()+ROUNDUP(D10/5,0)</f>
        <v>46702</v>
      </c>
    </row>
    <row r="21" spans="1:2" x14ac:dyDescent="0.25">
      <c r="A21" s="6" t="s">
        <v>27</v>
      </c>
      <c r="B21" s="5">
        <f ca="1">TODAY()+ROUNDUP(D10/10,0)</f>
        <v>46510</v>
      </c>
    </row>
    <row r="22" spans="1:2" x14ac:dyDescent="0.25">
      <c r="A22" s="6" t="s">
        <v>28</v>
      </c>
      <c r="B22" s="3" t="str">
        <f>INDEX(A5:A9,MATCH(MIN(D5:D9),D5:D9,0))</f>
        <v>الفجر</v>
      </c>
    </row>
    <row r="23" spans="1:2" x14ac:dyDescent="0.25">
      <c r="A23" s="6" t="s">
        <v>29</v>
      </c>
      <c r="B23" s="3" t="str">
        <f>INDEX(A5:A9,MATCH(MAX(D5:D9),D5:D9,0))</f>
        <v>العشاء</v>
      </c>
    </row>
    <row r="24" spans="1:2" x14ac:dyDescent="0.25">
      <c r="A24" t="s">
        <v>30</v>
      </c>
    </row>
    <row r="26" spans="1:2" x14ac:dyDescent="0.25">
      <c r="A26" t="s">
        <v>39</v>
      </c>
    </row>
  </sheetData>
  <mergeCells count="1">
    <mergeCell ref="A1:F1"/>
  </mergeCells>
  <conditionalFormatting sqref="D5:D9">
    <cfRule type="cellIs" dxfId="0" priority="2" operator="equal">
      <formula>0</formula>
    </cfRule>
  </conditionalFormatting>
  <conditionalFormatting sqref="E5:E10">
    <cfRule type="dataBar" priority="1">
      <dataBar>
        <cfvo type="num" val="0"/>
        <cfvo type="num" val="1"/>
        <color rgb="FF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rightToLeft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8" customWidth="1"/>
    <col min="4" max="4" width="30" customWidth="1"/>
  </cols>
  <sheetData>
    <row r="1" spans="1:4" x14ac:dyDescent="0.25">
      <c r="A1" s="9" t="s">
        <v>31</v>
      </c>
      <c r="B1" s="9" t="s">
        <v>9</v>
      </c>
      <c r="C1" s="9" t="s">
        <v>32</v>
      </c>
      <c r="D1" s="9" t="s">
        <v>33</v>
      </c>
    </row>
  </sheetData>
  <dataValidations count="2">
    <dataValidation type="list" allowBlank="1" sqref="B2:B5000" xr:uid="{00000000-0002-0000-0200-000000000000}">
      <formula1>"الفجر,الظهر,العصر,المغرب,العشاء"</formula1>
    </dataValidation>
    <dataValidation type="whole" allowBlank="1" sqref="C2:C5000" xr:uid="{00000000-0002-0000-0200-000001000000}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1"/>
  <sheetViews>
    <sheetView rightToLeft="1" workbookViewId="0"/>
  </sheetViews>
  <sheetFormatPr defaultRowHeight="15" x14ac:dyDescent="0.25"/>
  <sheetData>
    <row r="1" spans="1:13" x14ac:dyDescent="0.25">
      <c r="A1" t="s">
        <v>31</v>
      </c>
      <c r="B1" t="s">
        <v>19</v>
      </c>
      <c r="C1" t="s">
        <v>34</v>
      </c>
      <c r="D1" t="s">
        <v>35</v>
      </c>
      <c r="F1" t="s">
        <v>36</v>
      </c>
      <c r="G1" t="s">
        <v>37</v>
      </c>
      <c r="I1" t="s">
        <v>38</v>
      </c>
      <c r="J1" t="s">
        <v>32</v>
      </c>
      <c r="L1" t="s">
        <v>9</v>
      </c>
      <c r="M1" t="s">
        <v>21</v>
      </c>
    </row>
    <row r="2" spans="1:13" x14ac:dyDescent="0.25">
      <c r="A2" s="12">
        <v>46312</v>
      </c>
      <c r="B2">
        <f>SUMIFS(سجل!$C:$C,سجل!$A:$A,A2)</f>
        <v>0</v>
      </c>
      <c r="C2">
        <f ca="1">IF(A2&gt;TODAY(),NA(),ملخص!$B$10-SUM($B$2:B2))</f>
        <v>1918</v>
      </c>
      <c r="D2">
        <f>AVERAGE(B2:B2)</f>
        <v>0</v>
      </c>
      <c r="F2" s="12">
        <v>46312</v>
      </c>
      <c r="G2">
        <f>SUMIFS(سجل!$C:$C,سجل!$A:$A,"&gt;="&amp;F2,سجل!$A:$A,"&lt;"&amp;(F2+7))</f>
        <v>0</v>
      </c>
      <c r="I2" t="s">
        <v>3</v>
      </c>
      <c r="J2">
        <f>ملخص!C10</f>
        <v>0</v>
      </c>
      <c r="L2" t="s">
        <v>13</v>
      </c>
      <c r="M2">
        <f ca="1">SUMIFS(سجل!$C:$C,سجل!$B:$B,L2,سجل!$A:$A,"&gt;="&amp;DATE(YEAR(TODAY()),MONTH(TODAY()),1))</f>
        <v>0</v>
      </c>
    </row>
    <row r="3" spans="1:13" x14ac:dyDescent="0.25">
      <c r="A3" s="12">
        <v>46313</v>
      </c>
      <c r="B3">
        <f>SUMIFS(سجل!$C:$C,سجل!$A:$A,A3)</f>
        <v>0</v>
      </c>
      <c r="C3">
        <f ca="1">IF(A3&gt;TODAY(),NA(),ملخص!$B$10-SUM($B$2:B3))</f>
        <v>1918</v>
      </c>
      <c r="D3">
        <f>AVERAGE(B2:B3)</f>
        <v>0</v>
      </c>
      <c r="F3" s="12">
        <v>46319</v>
      </c>
      <c r="G3">
        <f>SUMIFS(سجل!$C:$C,سجل!$A:$A,"&gt;="&amp;F3,سجل!$A:$A,"&lt;"&amp;(F3+7))</f>
        <v>0</v>
      </c>
      <c r="I3" t="s">
        <v>2</v>
      </c>
      <c r="J3">
        <f>ملخص!D10</f>
        <v>1918</v>
      </c>
      <c r="L3" t="s">
        <v>14</v>
      </c>
      <c r="M3">
        <f ca="1">SUMIFS(سجل!$C:$C,سجل!$B:$B,L3,سجل!$A:$A,"&gt;="&amp;DATE(YEAR(TODAY()),MONTH(TODAY()),1))</f>
        <v>0</v>
      </c>
    </row>
    <row r="4" spans="1:13" x14ac:dyDescent="0.25">
      <c r="A4" s="12">
        <v>46314</v>
      </c>
      <c r="B4">
        <f>SUMIFS(سجل!$C:$C,سجل!$A:$A,A4)</f>
        <v>0</v>
      </c>
      <c r="C4">
        <f ca="1">IF(A4&gt;TODAY(),NA(),ملخص!$B$10-SUM($B$2:B4))</f>
        <v>1918</v>
      </c>
      <c r="D4">
        <f>AVERAGE(B2:B4)</f>
        <v>0</v>
      </c>
      <c r="F4" s="12">
        <v>46326</v>
      </c>
      <c r="G4">
        <f>SUMIFS(سجل!$C:$C,سجل!$A:$A,"&gt;="&amp;F4,سجل!$A:$A,"&lt;"&amp;(F4+7))</f>
        <v>0</v>
      </c>
      <c r="L4" t="s">
        <v>15</v>
      </c>
      <c r="M4">
        <f ca="1">SUMIFS(سجل!$C:$C,سجل!$B:$B,L4,سجل!$A:$A,"&gt;="&amp;DATE(YEAR(TODAY()),MONTH(TODAY()),1))</f>
        <v>0</v>
      </c>
    </row>
    <row r="5" spans="1:13" x14ac:dyDescent="0.25">
      <c r="A5" s="12">
        <v>46315</v>
      </c>
      <c r="B5">
        <f>SUMIFS(سجل!$C:$C,سجل!$A:$A,A5)</f>
        <v>0</v>
      </c>
      <c r="C5">
        <f ca="1">IF(A5&gt;TODAY(),NA(),ملخص!$B$10-SUM($B$2:B5))</f>
        <v>1918</v>
      </c>
      <c r="D5">
        <f>AVERAGE(B2:B5)</f>
        <v>0</v>
      </c>
      <c r="F5" s="12">
        <v>46333</v>
      </c>
      <c r="G5">
        <f>SUMIFS(سجل!$C:$C,سجل!$A:$A,"&gt;="&amp;F5,سجل!$A:$A,"&lt;"&amp;(F5+7))</f>
        <v>0</v>
      </c>
      <c r="L5" t="s">
        <v>16</v>
      </c>
      <c r="M5">
        <f ca="1">SUMIFS(سجل!$C:$C,سجل!$B:$B,L5,سجل!$A:$A,"&gt;="&amp;DATE(YEAR(TODAY()),MONTH(TODAY()),1))</f>
        <v>0</v>
      </c>
    </row>
    <row r="6" spans="1:13" x14ac:dyDescent="0.25">
      <c r="A6" s="12">
        <v>46316</v>
      </c>
      <c r="B6">
        <f>SUMIFS(سجل!$C:$C,سجل!$A:$A,A6)</f>
        <v>0</v>
      </c>
      <c r="C6">
        <f ca="1">IF(A6&gt;TODAY(),NA(),ملخص!$B$10-SUM($B$2:B6))</f>
        <v>1918</v>
      </c>
      <c r="D6">
        <f>AVERAGE(B2:B6)</f>
        <v>0</v>
      </c>
      <c r="F6" s="12">
        <v>46340</v>
      </c>
      <c r="G6">
        <f>SUMIFS(سجل!$C:$C,سجل!$A:$A,"&gt;="&amp;F6,سجل!$A:$A,"&lt;"&amp;(F6+7))</f>
        <v>0</v>
      </c>
      <c r="L6" t="s">
        <v>17</v>
      </c>
      <c r="M6">
        <f ca="1">SUMIFS(سجل!$C:$C,سجل!$B:$B,L6,سجل!$A:$A,"&gt;="&amp;DATE(YEAR(TODAY()),MONTH(TODAY()),1))</f>
        <v>0</v>
      </c>
    </row>
    <row r="7" spans="1:13" x14ac:dyDescent="0.25">
      <c r="A7" s="12">
        <v>46317</v>
      </c>
      <c r="B7">
        <f>SUMIFS(سجل!$C:$C,سجل!$A:$A,A7)</f>
        <v>0</v>
      </c>
      <c r="C7">
        <f ca="1">IF(A7&gt;TODAY(),NA(),ملخص!$B$10-SUM($B$2:B7))</f>
        <v>1918</v>
      </c>
      <c r="D7">
        <f>AVERAGE(B2:B7)</f>
        <v>0</v>
      </c>
      <c r="F7" s="12">
        <v>46347</v>
      </c>
      <c r="G7">
        <f>SUMIFS(سجل!$C:$C,سجل!$A:$A,"&gt;="&amp;F7,سجل!$A:$A,"&lt;"&amp;(F7+7))</f>
        <v>0</v>
      </c>
    </row>
    <row r="8" spans="1:13" x14ac:dyDescent="0.25">
      <c r="A8" s="12">
        <v>46318</v>
      </c>
      <c r="B8">
        <f>SUMIFS(سجل!$C:$C,سجل!$A:$A,A8)</f>
        <v>0</v>
      </c>
      <c r="C8">
        <f ca="1">IF(A8&gt;TODAY(),NA(),ملخص!$B$10-SUM($B$2:B8))</f>
        <v>1918</v>
      </c>
      <c r="D8">
        <f t="shared" ref="D8:D39" si="0">AVERAGE(B2:B8)</f>
        <v>0</v>
      </c>
      <c r="F8" s="12">
        <v>46354</v>
      </c>
      <c r="G8">
        <f>SUMIFS(سجل!$C:$C,سجل!$A:$A,"&gt;="&amp;F8,سجل!$A:$A,"&lt;"&amp;(F8+7))</f>
        <v>0</v>
      </c>
    </row>
    <row r="9" spans="1:13" x14ac:dyDescent="0.25">
      <c r="A9" s="12">
        <v>46319</v>
      </c>
      <c r="B9">
        <f>SUMIFS(سجل!$C:$C,سجل!$A:$A,A9)</f>
        <v>0</v>
      </c>
      <c r="C9" t="e">
        <f ca="1">IF(A9&gt;TODAY(),NA(),ملخص!$B$10-SUM($B$2:B9))</f>
        <v>#N/A</v>
      </c>
      <c r="D9">
        <f t="shared" si="0"/>
        <v>0</v>
      </c>
      <c r="F9" s="12">
        <v>46361</v>
      </c>
      <c r="G9">
        <f>SUMIFS(سجل!$C:$C,سجل!$A:$A,"&gt;="&amp;F9,سجل!$A:$A,"&lt;"&amp;(F9+7))</f>
        <v>0</v>
      </c>
    </row>
    <row r="10" spans="1:13" x14ac:dyDescent="0.25">
      <c r="A10" s="12">
        <v>46320</v>
      </c>
      <c r="B10">
        <f>SUMIFS(سجل!$C:$C,سجل!$A:$A,A10)</f>
        <v>0</v>
      </c>
      <c r="C10" t="e">
        <f ca="1">IF(A10&gt;TODAY(),NA(),ملخص!$B$10-SUM($B$2:B10))</f>
        <v>#N/A</v>
      </c>
      <c r="D10">
        <f t="shared" si="0"/>
        <v>0</v>
      </c>
      <c r="F10" s="12">
        <v>46368</v>
      </c>
      <c r="G10">
        <f>SUMIFS(سجل!$C:$C,سجل!$A:$A,"&gt;="&amp;F10,سجل!$A:$A,"&lt;"&amp;(F10+7))</f>
        <v>0</v>
      </c>
    </row>
    <row r="11" spans="1:13" x14ac:dyDescent="0.25">
      <c r="A11" s="12">
        <v>46321</v>
      </c>
      <c r="B11">
        <f>SUMIFS(سجل!$C:$C,سجل!$A:$A,A11)</f>
        <v>0</v>
      </c>
      <c r="C11" t="e">
        <f ca="1">IF(A11&gt;TODAY(),NA(),ملخص!$B$10-SUM($B$2:B11))</f>
        <v>#N/A</v>
      </c>
      <c r="D11">
        <f t="shared" si="0"/>
        <v>0</v>
      </c>
      <c r="F11" s="12">
        <v>46375</v>
      </c>
      <c r="G11">
        <f>SUMIFS(سجل!$C:$C,سجل!$A:$A,"&gt;="&amp;F11,سجل!$A:$A,"&lt;"&amp;(F11+7))</f>
        <v>0</v>
      </c>
    </row>
    <row r="12" spans="1:13" x14ac:dyDescent="0.25">
      <c r="A12" s="12">
        <v>46322</v>
      </c>
      <c r="B12">
        <f>SUMIFS(سجل!$C:$C,سجل!$A:$A,A12)</f>
        <v>0</v>
      </c>
      <c r="C12" t="e">
        <f ca="1">IF(A12&gt;TODAY(),NA(),ملخص!$B$10-SUM($B$2:B12))</f>
        <v>#N/A</v>
      </c>
      <c r="D12">
        <f t="shared" si="0"/>
        <v>0</v>
      </c>
      <c r="F12" s="12">
        <v>46382</v>
      </c>
      <c r="G12">
        <f>SUMIFS(سجل!$C:$C,سجل!$A:$A,"&gt;="&amp;F12,سجل!$A:$A,"&lt;"&amp;(F12+7))</f>
        <v>0</v>
      </c>
    </row>
    <row r="13" spans="1:13" x14ac:dyDescent="0.25">
      <c r="A13" s="12">
        <v>46323</v>
      </c>
      <c r="B13">
        <f>SUMIFS(سجل!$C:$C,سجل!$A:$A,A13)</f>
        <v>0</v>
      </c>
      <c r="C13" t="e">
        <f ca="1">IF(A13&gt;TODAY(),NA(),ملخص!$B$10-SUM($B$2:B13))</f>
        <v>#N/A</v>
      </c>
      <c r="D13">
        <f t="shared" si="0"/>
        <v>0</v>
      </c>
      <c r="F13" s="12">
        <v>46389</v>
      </c>
      <c r="G13">
        <f>SUMIFS(سجل!$C:$C,سجل!$A:$A,"&gt;="&amp;F13,سجل!$A:$A,"&lt;"&amp;(F13+7))</f>
        <v>0</v>
      </c>
    </row>
    <row r="14" spans="1:13" x14ac:dyDescent="0.25">
      <c r="A14" s="12">
        <v>46324</v>
      </c>
      <c r="B14">
        <f>SUMIFS(سجل!$C:$C,سجل!$A:$A,A14)</f>
        <v>0</v>
      </c>
      <c r="C14" t="e">
        <f ca="1">IF(A14&gt;TODAY(),NA(),ملخص!$B$10-SUM($B$2:B14))</f>
        <v>#N/A</v>
      </c>
      <c r="D14">
        <f t="shared" si="0"/>
        <v>0</v>
      </c>
      <c r="F14" s="12">
        <v>46396</v>
      </c>
      <c r="G14">
        <f>SUMIFS(سجل!$C:$C,سجل!$A:$A,"&gt;="&amp;F14,سجل!$A:$A,"&lt;"&amp;(F14+7))</f>
        <v>0</v>
      </c>
    </row>
    <row r="15" spans="1:13" x14ac:dyDescent="0.25">
      <c r="A15" s="12">
        <v>46325</v>
      </c>
      <c r="B15">
        <f>SUMIFS(سجل!$C:$C,سجل!$A:$A,A15)</f>
        <v>0</v>
      </c>
      <c r="C15" t="e">
        <f ca="1">IF(A15&gt;TODAY(),NA(),ملخص!$B$10-SUM($B$2:B15))</f>
        <v>#N/A</v>
      </c>
      <c r="D15">
        <f t="shared" si="0"/>
        <v>0</v>
      </c>
      <c r="F15" s="12">
        <v>46403</v>
      </c>
      <c r="G15">
        <f>SUMIFS(سجل!$C:$C,سجل!$A:$A,"&gt;="&amp;F15,سجل!$A:$A,"&lt;"&amp;(F15+7))</f>
        <v>0</v>
      </c>
    </row>
    <row r="16" spans="1:13" x14ac:dyDescent="0.25">
      <c r="A16" s="12">
        <v>46326</v>
      </c>
      <c r="B16">
        <f>SUMIFS(سجل!$C:$C,سجل!$A:$A,A16)</f>
        <v>0</v>
      </c>
      <c r="C16" t="e">
        <f ca="1">IF(A16&gt;TODAY(),NA(),ملخص!$B$10-SUM($B$2:B16))</f>
        <v>#N/A</v>
      </c>
      <c r="D16">
        <f t="shared" si="0"/>
        <v>0</v>
      </c>
      <c r="F16" s="12">
        <v>46410</v>
      </c>
      <c r="G16">
        <f>SUMIFS(سجل!$C:$C,سجل!$A:$A,"&gt;="&amp;F16,سجل!$A:$A,"&lt;"&amp;(F16+7))</f>
        <v>0</v>
      </c>
    </row>
    <row r="17" spans="1:7" x14ac:dyDescent="0.25">
      <c r="A17" s="12">
        <v>46327</v>
      </c>
      <c r="B17">
        <f>SUMIFS(سجل!$C:$C,سجل!$A:$A,A17)</f>
        <v>0</v>
      </c>
      <c r="C17" t="e">
        <f ca="1">IF(A17&gt;TODAY(),NA(),ملخص!$B$10-SUM($B$2:B17))</f>
        <v>#N/A</v>
      </c>
      <c r="D17">
        <f t="shared" si="0"/>
        <v>0</v>
      </c>
      <c r="F17" s="12">
        <v>46417</v>
      </c>
      <c r="G17">
        <f>SUMIFS(سجل!$C:$C,سجل!$A:$A,"&gt;="&amp;F17,سجل!$A:$A,"&lt;"&amp;(F17+7))</f>
        <v>0</v>
      </c>
    </row>
    <row r="18" spans="1:7" x14ac:dyDescent="0.25">
      <c r="A18" s="12">
        <v>46328</v>
      </c>
      <c r="B18">
        <f>SUMIFS(سجل!$C:$C,سجل!$A:$A,A18)</f>
        <v>0</v>
      </c>
      <c r="C18" t="e">
        <f ca="1">IF(A18&gt;TODAY(),NA(),ملخص!$B$10-SUM($B$2:B18))</f>
        <v>#N/A</v>
      </c>
      <c r="D18">
        <f t="shared" si="0"/>
        <v>0</v>
      </c>
      <c r="F18" s="12">
        <v>46424</v>
      </c>
      <c r="G18">
        <f>SUMIFS(سجل!$C:$C,سجل!$A:$A,"&gt;="&amp;F18,سجل!$A:$A,"&lt;"&amp;(F18+7))</f>
        <v>0</v>
      </c>
    </row>
    <row r="19" spans="1:7" x14ac:dyDescent="0.25">
      <c r="A19" s="12">
        <v>46329</v>
      </c>
      <c r="B19">
        <f>SUMIFS(سجل!$C:$C,سجل!$A:$A,A19)</f>
        <v>0</v>
      </c>
      <c r="C19" t="e">
        <f ca="1">IF(A19&gt;TODAY(),NA(),ملخص!$B$10-SUM($B$2:B19))</f>
        <v>#N/A</v>
      </c>
      <c r="D19">
        <f t="shared" si="0"/>
        <v>0</v>
      </c>
      <c r="F19" s="12">
        <v>46431</v>
      </c>
      <c r="G19">
        <f>SUMIFS(سجل!$C:$C,سجل!$A:$A,"&gt;="&amp;F19,سجل!$A:$A,"&lt;"&amp;(F19+7))</f>
        <v>0</v>
      </c>
    </row>
    <row r="20" spans="1:7" x14ac:dyDescent="0.25">
      <c r="A20" s="12">
        <v>46330</v>
      </c>
      <c r="B20">
        <f>SUMIFS(سجل!$C:$C,سجل!$A:$A,A20)</f>
        <v>0</v>
      </c>
      <c r="C20" t="e">
        <f ca="1">IF(A20&gt;TODAY(),NA(),ملخص!$B$10-SUM($B$2:B20))</f>
        <v>#N/A</v>
      </c>
      <c r="D20">
        <f t="shared" si="0"/>
        <v>0</v>
      </c>
      <c r="F20" s="12">
        <v>46438</v>
      </c>
      <c r="G20">
        <f>SUMIFS(سجل!$C:$C,سجل!$A:$A,"&gt;="&amp;F20,سجل!$A:$A,"&lt;"&amp;(F20+7))</f>
        <v>0</v>
      </c>
    </row>
    <row r="21" spans="1:7" x14ac:dyDescent="0.25">
      <c r="A21" s="12">
        <v>46331</v>
      </c>
      <c r="B21">
        <f>SUMIFS(سجل!$C:$C,سجل!$A:$A,A21)</f>
        <v>0</v>
      </c>
      <c r="C21" t="e">
        <f ca="1">IF(A21&gt;TODAY(),NA(),ملخص!$B$10-SUM($B$2:B21))</f>
        <v>#N/A</v>
      </c>
      <c r="D21">
        <f t="shared" si="0"/>
        <v>0</v>
      </c>
      <c r="F21" s="12">
        <v>46445</v>
      </c>
      <c r="G21">
        <f>SUMIFS(سجل!$C:$C,سجل!$A:$A,"&gt;="&amp;F21,سجل!$A:$A,"&lt;"&amp;(F21+7))</f>
        <v>0</v>
      </c>
    </row>
    <row r="22" spans="1:7" x14ac:dyDescent="0.25">
      <c r="A22" s="12">
        <v>46332</v>
      </c>
      <c r="B22">
        <f>SUMIFS(سجل!$C:$C,سجل!$A:$A,A22)</f>
        <v>0</v>
      </c>
      <c r="C22" t="e">
        <f ca="1">IF(A22&gt;TODAY(),NA(),ملخص!$B$10-SUM($B$2:B22))</f>
        <v>#N/A</v>
      </c>
      <c r="D22">
        <f t="shared" si="0"/>
        <v>0</v>
      </c>
      <c r="F22" s="12">
        <v>46452</v>
      </c>
      <c r="G22">
        <f>SUMIFS(سجل!$C:$C,سجل!$A:$A,"&gt;="&amp;F22,سجل!$A:$A,"&lt;"&amp;(F22+7))</f>
        <v>0</v>
      </c>
    </row>
    <row r="23" spans="1:7" x14ac:dyDescent="0.25">
      <c r="A23" s="12">
        <v>46333</v>
      </c>
      <c r="B23">
        <f>SUMIFS(سجل!$C:$C,سجل!$A:$A,A23)</f>
        <v>0</v>
      </c>
      <c r="C23" t="e">
        <f ca="1">IF(A23&gt;TODAY(),NA(),ملخص!$B$10-SUM($B$2:B23))</f>
        <v>#N/A</v>
      </c>
      <c r="D23">
        <f t="shared" si="0"/>
        <v>0</v>
      </c>
      <c r="F23" s="12">
        <v>46459</v>
      </c>
      <c r="G23">
        <f>SUMIFS(سجل!$C:$C,سجل!$A:$A,"&gt;="&amp;F23,سجل!$A:$A,"&lt;"&amp;(F23+7))</f>
        <v>0</v>
      </c>
    </row>
    <row r="24" spans="1:7" x14ac:dyDescent="0.25">
      <c r="A24" s="12">
        <v>46334</v>
      </c>
      <c r="B24">
        <f>SUMIFS(سجل!$C:$C,سجل!$A:$A,A24)</f>
        <v>0</v>
      </c>
      <c r="C24" t="e">
        <f ca="1">IF(A24&gt;TODAY(),NA(),ملخص!$B$10-SUM($B$2:B24))</f>
        <v>#N/A</v>
      </c>
      <c r="D24">
        <f t="shared" si="0"/>
        <v>0</v>
      </c>
      <c r="F24" s="12">
        <v>46466</v>
      </c>
      <c r="G24">
        <f>SUMIFS(سجل!$C:$C,سجل!$A:$A,"&gt;="&amp;F24,سجل!$A:$A,"&lt;"&amp;(F24+7))</f>
        <v>0</v>
      </c>
    </row>
    <row r="25" spans="1:7" x14ac:dyDescent="0.25">
      <c r="A25" s="12">
        <v>46335</v>
      </c>
      <c r="B25">
        <f>SUMIFS(سجل!$C:$C,سجل!$A:$A,A25)</f>
        <v>0</v>
      </c>
      <c r="C25" t="e">
        <f ca="1">IF(A25&gt;TODAY(),NA(),ملخص!$B$10-SUM($B$2:B25))</f>
        <v>#N/A</v>
      </c>
      <c r="D25">
        <f t="shared" si="0"/>
        <v>0</v>
      </c>
      <c r="F25" s="12">
        <v>46473</v>
      </c>
      <c r="G25">
        <f>SUMIFS(سجل!$C:$C,سجل!$A:$A,"&gt;="&amp;F25,سجل!$A:$A,"&lt;"&amp;(F25+7))</f>
        <v>0</v>
      </c>
    </row>
    <row r="26" spans="1:7" x14ac:dyDescent="0.25">
      <c r="A26" s="12">
        <v>46336</v>
      </c>
      <c r="B26">
        <f>SUMIFS(سجل!$C:$C,سجل!$A:$A,A26)</f>
        <v>0</v>
      </c>
      <c r="C26" t="e">
        <f ca="1">IF(A26&gt;TODAY(),NA(),ملخص!$B$10-SUM($B$2:B26))</f>
        <v>#N/A</v>
      </c>
      <c r="D26">
        <f t="shared" si="0"/>
        <v>0</v>
      </c>
      <c r="F26" s="12">
        <v>46480</v>
      </c>
      <c r="G26">
        <f>SUMIFS(سجل!$C:$C,سجل!$A:$A,"&gt;="&amp;F26,سجل!$A:$A,"&lt;"&amp;(F26+7))</f>
        <v>0</v>
      </c>
    </row>
    <row r="27" spans="1:7" x14ac:dyDescent="0.25">
      <c r="A27" s="12">
        <v>46337</v>
      </c>
      <c r="B27">
        <f>SUMIFS(سجل!$C:$C,سجل!$A:$A,A27)</f>
        <v>0</v>
      </c>
      <c r="C27" t="e">
        <f ca="1">IF(A27&gt;TODAY(),NA(),ملخص!$B$10-SUM($B$2:B27))</f>
        <v>#N/A</v>
      </c>
      <c r="D27">
        <f t="shared" si="0"/>
        <v>0</v>
      </c>
      <c r="F27" s="12">
        <v>46487</v>
      </c>
      <c r="G27">
        <f>SUMIFS(سجل!$C:$C,سجل!$A:$A,"&gt;="&amp;F27,سجل!$A:$A,"&lt;"&amp;(F27+7))</f>
        <v>0</v>
      </c>
    </row>
    <row r="28" spans="1:7" x14ac:dyDescent="0.25">
      <c r="A28" s="12">
        <v>46338</v>
      </c>
      <c r="B28">
        <f>SUMIFS(سجل!$C:$C,سجل!$A:$A,A28)</f>
        <v>0</v>
      </c>
      <c r="C28" t="e">
        <f ca="1">IF(A28&gt;TODAY(),NA(),ملخص!$B$10-SUM($B$2:B28))</f>
        <v>#N/A</v>
      </c>
      <c r="D28">
        <f t="shared" si="0"/>
        <v>0</v>
      </c>
    </row>
    <row r="29" spans="1:7" x14ac:dyDescent="0.25">
      <c r="A29" s="12">
        <v>46339</v>
      </c>
      <c r="B29">
        <f>SUMIFS(سجل!$C:$C,سجل!$A:$A,A29)</f>
        <v>0</v>
      </c>
      <c r="C29" t="e">
        <f ca="1">IF(A29&gt;TODAY(),NA(),ملخص!$B$10-SUM($B$2:B29))</f>
        <v>#N/A</v>
      </c>
      <c r="D29">
        <f t="shared" si="0"/>
        <v>0</v>
      </c>
    </row>
    <row r="30" spans="1:7" x14ac:dyDescent="0.25">
      <c r="A30" s="12">
        <v>46340</v>
      </c>
      <c r="B30">
        <f>SUMIFS(سجل!$C:$C,سجل!$A:$A,A30)</f>
        <v>0</v>
      </c>
      <c r="C30" t="e">
        <f ca="1">IF(A30&gt;TODAY(),NA(),ملخص!$B$10-SUM($B$2:B30))</f>
        <v>#N/A</v>
      </c>
      <c r="D30">
        <f t="shared" si="0"/>
        <v>0</v>
      </c>
    </row>
    <row r="31" spans="1:7" x14ac:dyDescent="0.25">
      <c r="A31" s="12">
        <v>46341</v>
      </c>
      <c r="B31">
        <f>SUMIFS(سجل!$C:$C,سجل!$A:$A,A31)</f>
        <v>0</v>
      </c>
      <c r="C31" t="e">
        <f ca="1">IF(A31&gt;TODAY(),NA(),ملخص!$B$10-SUM($B$2:B31))</f>
        <v>#N/A</v>
      </c>
      <c r="D31">
        <f t="shared" si="0"/>
        <v>0</v>
      </c>
    </row>
    <row r="32" spans="1:7" x14ac:dyDescent="0.25">
      <c r="A32" s="12">
        <v>46342</v>
      </c>
      <c r="B32">
        <f>SUMIFS(سجل!$C:$C,سجل!$A:$A,A32)</f>
        <v>0</v>
      </c>
      <c r="C32" t="e">
        <f ca="1">IF(A32&gt;TODAY(),NA(),ملخص!$B$10-SUM($B$2:B32))</f>
        <v>#N/A</v>
      </c>
      <c r="D32">
        <f t="shared" si="0"/>
        <v>0</v>
      </c>
    </row>
    <row r="33" spans="1:4" x14ac:dyDescent="0.25">
      <c r="A33" s="12">
        <v>46343</v>
      </c>
      <c r="B33">
        <f>SUMIFS(سجل!$C:$C,سجل!$A:$A,A33)</f>
        <v>0</v>
      </c>
      <c r="C33" t="e">
        <f ca="1">IF(A33&gt;TODAY(),NA(),ملخص!$B$10-SUM($B$2:B33))</f>
        <v>#N/A</v>
      </c>
      <c r="D33">
        <f t="shared" si="0"/>
        <v>0</v>
      </c>
    </row>
    <row r="34" spans="1:4" x14ac:dyDescent="0.25">
      <c r="A34" s="12">
        <v>46344</v>
      </c>
      <c r="B34">
        <f>SUMIFS(سجل!$C:$C,سجل!$A:$A,A34)</f>
        <v>0</v>
      </c>
      <c r="C34" t="e">
        <f ca="1">IF(A34&gt;TODAY(),NA(),ملخص!$B$10-SUM($B$2:B34))</f>
        <v>#N/A</v>
      </c>
      <c r="D34">
        <f t="shared" si="0"/>
        <v>0</v>
      </c>
    </row>
    <row r="35" spans="1:4" x14ac:dyDescent="0.25">
      <c r="A35" s="12">
        <v>46345</v>
      </c>
      <c r="B35">
        <f>SUMIFS(سجل!$C:$C,سجل!$A:$A,A35)</f>
        <v>0</v>
      </c>
      <c r="C35" t="e">
        <f ca="1">IF(A35&gt;TODAY(),NA(),ملخص!$B$10-SUM($B$2:B35))</f>
        <v>#N/A</v>
      </c>
      <c r="D35">
        <f t="shared" si="0"/>
        <v>0</v>
      </c>
    </row>
    <row r="36" spans="1:4" x14ac:dyDescent="0.25">
      <c r="A36" s="12">
        <v>46346</v>
      </c>
      <c r="B36">
        <f>SUMIFS(سجل!$C:$C,سجل!$A:$A,A36)</f>
        <v>0</v>
      </c>
      <c r="C36" t="e">
        <f ca="1">IF(A36&gt;TODAY(),NA(),ملخص!$B$10-SUM($B$2:B36))</f>
        <v>#N/A</v>
      </c>
      <c r="D36">
        <f t="shared" si="0"/>
        <v>0</v>
      </c>
    </row>
    <row r="37" spans="1:4" x14ac:dyDescent="0.25">
      <c r="A37" s="12">
        <v>46347</v>
      </c>
      <c r="B37">
        <f>SUMIFS(سجل!$C:$C,سجل!$A:$A,A37)</f>
        <v>0</v>
      </c>
      <c r="C37" t="e">
        <f ca="1">IF(A37&gt;TODAY(),NA(),ملخص!$B$10-SUM($B$2:B37))</f>
        <v>#N/A</v>
      </c>
      <c r="D37">
        <f t="shared" si="0"/>
        <v>0</v>
      </c>
    </row>
    <row r="38" spans="1:4" x14ac:dyDescent="0.25">
      <c r="A38" s="12">
        <v>46348</v>
      </c>
      <c r="B38">
        <f>SUMIFS(سجل!$C:$C,سجل!$A:$A,A38)</f>
        <v>0</v>
      </c>
      <c r="C38" t="e">
        <f ca="1">IF(A38&gt;TODAY(),NA(),ملخص!$B$10-SUM($B$2:B38))</f>
        <v>#N/A</v>
      </c>
      <c r="D38">
        <f t="shared" si="0"/>
        <v>0</v>
      </c>
    </row>
    <row r="39" spans="1:4" x14ac:dyDescent="0.25">
      <c r="A39" s="12">
        <v>46349</v>
      </c>
      <c r="B39">
        <f>SUMIFS(سجل!$C:$C,سجل!$A:$A,A39)</f>
        <v>0</v>
      </c>
      <c r="C39" t="e">
        <f ca="1">IF(A39&gt;TODAY(),NA(),ملخص!$B$10-SUM($B$2:B39))</f>
        <v>#N/A</v>
      </c>
      <c r="D39">
        <f t="shared" si="0"/>
        <v>0</v>
      </c>
    </row>
    <row r="40" spans="1:4" x14ac:dyDescent="0.25">
      <c r="A40" s="12">
        <v>46350</v>
      </c>
      <c r="B40">
        <f>SUMIFS(سجل!$C:$C,سجل!$A:$A,A40)</f>
        <v>0</v>
      </c>
      <c r="C40" t="e">
        <f ca="1">IF(A40&gt;TODAY(),NA(),ملخص!$B$10-SUM($B$2:B40))</f>
        <v>#N/A</v>
      </c>
      <c r="D40">
        <f t="shared" ref="D40:D71" si="1">AVERAGE(B34:B40)</f>
        <v>0</v>
      </c>
    </row>
    <row r="41" spans="1:4" x14ac:dyDescent="0.25">
      <c r="A41" s="12">
        <v>46351</v>
      </c>
      <c r="B41">
        <f>SUMIFS(سجل!$C:$C,سجل!$A:$A,A41)</f>
        <v>0</v>
      </c>
      <c r="C41" t="e">
        <f ca="1">IF(A41&gt;TODAY(),NA(),ملخص!$B$10-SUM($B$2:B41))</f>
        <v>#N/A</v>
      </c>
      <c r="D41">
        <f t="shared" si="1"/>
        <v>0</v>
      </c>
    </row>
    <row r="42" spans="1:4" x14ac:dyDescent="0.25">
      <c r="A42" s="12">
        <v>46352</v>
      </c>
      <c r="B42">
        <f>SUMIFS(سجل!$C:$C,سجل!$A:$A,A42)</f>
        <v>0</v>
      </c>
      <c r="C42" t="e">
        <f ca="1">IF(A42&gt;TODAY(),NA(),ملخص!$B$10-SUM($B$2:B42))</f>
        <v>#N/A</v>
      </c>
      <c r="D42">
        <f t="shared" si="1"/>
        <v>0</v>
      </c>
    </row>
    <row r="43" spans="1:4" x14ac:dyDescent="0.25">
      <c r="A43" s="12">
        <v>46353</v>
      </c>
      <c r="B43">
        <f>SUMIFS(سجل!$C:$C,سجل!$A:$A,A43)</f>
        <v>0</v>
      </c>
      <c r="C43" t="e">
        <f ca="1">IF(A43&gt;TODAY(),NA(),ملخص!$B$10-SUM($B$2:B43))</f>
        <v>#N/A</v>
      </c>
      <c r="D43">
        <f t="shared" si="1"/>
        <v>0</v>
      </c>
    </row>
    <row r="44" spans="1:4" x14ac:dyDescent="0.25">
      <c r="A44" s="12">
        <v>46354</v>
      </c>
      <c r="B44">
        <f>SUMIFS(سجل!$C:$C,سجل!$A:$A,A44)</f>
        <v>0</v>
      </c>
      <c r="C44" t="e">
        <f ca="1">IF(A44&gt;TODAY(),NA(),ملخص!$B$10-SUM($B$2:B44))</f>
        <v>#N/A</v>
      </c>
      <c r="D44">
        <f t="shared" si="1"/>
        <v>0</v>
      </c>
    </row>
    <row r="45" spans="1:4" x14ac:dyDescent="0.25">
      <c r="A45" s="12">
        <v>46355</v>
      </c>
      <c r="B45">
        <f>SUMIFS(سجل!$C:$C,سجل!$A:$A,A45)</f>
        <v>0</v>
      </c>
      <c r="C45" t="e">
        <f ca="1">IF(A45&gt;TODAY(),NA(),ملخص!$B$10-SUM($B$2:B45))</f>
        <v>#N/A</v>
      </c>
      <c r="D45">
        <f t="shared" si="1"/>
        <v>0</v>
      </c>
    </row>
    <row r="46" spans="1:4" x14ac:dyDescent="0.25">
      <c r="A46" s="12">
        <v>46356</v>
      </c>
      <c r="B46">
        <f>SUMIFS(سجل!$C:$C,سجل!$A:$A,A46)</f>
        <v>0</v>
      </c>
      <c r="C46" t="e">
        <f ca="1">IF(A46&gt;TODAY(),NA(),ملخص!$B$10-SUM($B$2:B46))</f>
        <v>#N/A</v>
      </c>
      <c r="D46">
        <f t="shared" si="1"/>
        <v>0</v>
      </c>
    </row>
    <row r="47" spans="1:4" x14ac:dyDescent="0.25">
      <c r="A47" s="12">
        <v>46357</v>
      </c>
      <c r="B47">
        <f>SUMIFS(سجل!$C:$C,سجل!$A:$A,A47)</f>
        <v>0</v>
      </c>
      <c r="C47" t="e">
        <f ca="1">IF(A47&gt;TODAY(),NA(),ملخص!$B$10-SUM($B$2:B47))</f>
        <v>#N/A</v>
      </c>
      <c r="D47">
        <f t="shared" si="1"/>
        <v>0</v>
      </c>
    </row>
    <row r="48" spans="1:4" x14ac:dyDescent="0.25">
      <c r="A48" s="12">
        <v>46358</v>
      </c>
      <c r="B48">
        <f>SUMIFS(سجل!$C:$C,سجل!$A:$A,A48)</f>
        <v>0</v>
      </c>
      <c r="C48" t="e">
        <f ca="1">IF(A48&gt;TODAY(),NA(),ملخص!$B$10-SUM($B$2:B48))</f>
        <v>#N/A</v>
      </c>
      <c r="D48">
        <f t="shared" si="1"/>
        <v>0</v>
      </c>
    </row>
    <row r="49" spans="1:4" x14ac:dyDescent="0.25">
      <c r="A49" s="12">
        <v>46359</v>
      </c>
      <c r="B49">
        <f>SUMIFS(سجل!$C:$C,سجل!$A:$A,A49)</f>
        <v>0</v>
      </c>
      <c r="C49" t="e">
        <f ca="1">IF(A49&gt;TODAY(),NA(),ملخص!$B$10-SUM($B$2:B49))</f>
        <v>#N/A</v>
      </c>
      <c r="D49">
        <f t="shared" si="1"/>
        <v>0</v>
      </c>
    </row>
    <row r="50" spans="1:4" x14ac:dyDescent="0.25">
      <c r="A50" s="12">
        <v>46360</v>
      </c>
      <c r="B50">
        <f>SUMIFS(سجل!$C:$C,سجل!$A:$A,A50)</f>
        <v>0</v>
      </c>
      <c r="C50" t="e">
        <f ca="1">IF(A50&gt;TODAY(),NA(),ملخص!$B$10-SUM($B$2:B50))</f>
        <v>#N/A</v>
      </c>
      <c r="D50">
        <f t="shared" si="1"/>
        <v>0</v>
      </c>
    </row>
    <row r="51" spans="1:4" x14ac:dyDescent="0.25">
      <c r="A51" s="12">
        <v>46361</v>
      </c>
      <c r="B51">
        <f>SUMIFS(سجل!$C:$C,سجل!$A:$A,A51)</f>
        <v>0</v>
      </c>
      <c r="C51" t="e">
        <f ca="1">IF(A51&gt;TODAY(),NA(),ملخص!$B$10-SUM($B$2:B51))</f>
        <v>#N/A</v>
      </c>
      <c r="D51">
        <f t="shared" si="1"/>
        <v>0</v>
      </c>
    </row>
    <row r="52" spans="1:4" x14ac:dyDescent="0.25">
      <c r="A52" s="12">
        <v>46362</v>
      </c>
      <c r="B52">
        <f>SUMIFS(سجل!$C:$C,سجل!$A:$A,A52)</f>
        <v>0</v>
      </c>
      <c r="C52" t="e">
        <f ca="1">IF(A52&gt;TODAY(),NA(),ملخص!$B$10-SUM($B$2:B52))</f>
        <v>#N/A</v>
      </c>
      <c r="D52">
        <f t="shared" si="1"/>
        <v>0</v>
      </c>
    </row>
    <row r="53" spans="1:4" x14ac:dyDescent="0.25">
      <c r="A53" s="12">
        <v>46363</v>
      </c>
      <c r="B53">
        <f>SUMIFS(سجل!$C:$C,سجل!$A:$A,A53)</f>
        <v>0</v>
      </c>
      <c r="C53" t="e">
        <f ca="1">IF(A53&gt;TODAY(),NA(),ملخص!$B$10-SUM($B$2:B53))</f>
        <v>#N/A</v>
      </c>
      <c r="D53">
        <f t="shared" si="1"/>
        <v>0</v>
      </c>
    </row>
    <row r="54" spans="1:4" x14ac:dyDescent="0.25">
      <c r="A54" s="12">
        <v>46364</v>
      </c>
      <c r="B54">
        <f>SUMIFS(سجل!$C:$C,سجل!$A:$A,A54)</f>
        <v>0</v>
      </c>
      <c r="C54" t="e">
        <f ca="1">IF(A54&gt;TODAY(),NA(),ملخص!$B$10-SUM($B$2:B54))</f>
        <v>#N/A</v>
      </c>
      <c r="D54">
        <f t="shared" si="1"/>
        <v>0</v>
      </c>
    </row>
    <row r="55" spans="1:4" x14ac:dyDescent="0.25">
      <c r="A55" s="12">
        <v>46365</v>
      </c>
      <c r="B55">
        <f>SUMIFS(سجل!$C:$C,سجل!$A:$A,A55)</f>
        <v>0</v>
      </c>
      <c r="C55" t="e">
        <f ca="1">IF(A55&gt;TODAY(),NA(),ملخص!$B$10-SUM($B$2:B55))</f>
        <v>#N/A</v>
      </c>
      <c r="D55">
        <f t="shared" si="1"/>
        <v>0</v>
      </c>
    </row>
    <row r="56" spans="1:4" x14ac:dyDescent="0.25">
      <c r="A56" s="12">
        <v>46366</v>
      </c>
      <c r="B56">
        <f>SUMIFS(سجل!$C:$C,سجل!$A:$A,A56)</f>
        <v>0</v>
      </c>
      <c r="C56" t="e">
        <f ca="1">IF(A56&gt;TODAY(),NA(),ملخص!$B$10-SUM($B$2:B56))</f>
        <v>#N/A</v>
      </c>
      <c r="D56">
        <f t="shared" si="1"/>
        <v>0</v>
      </c>
    </row>
    <row r="57" spans="1:4" x14ac:dyDescent="0.25">
      <c r="A57" s="12">
        <v>46367</v>
      </c>
      <c r="B57">
        <f>SUMIFS(سجل!$C:$C,سجل!$A:$A,A57)</f>
        <v>0</v>
      </c>
      <c r="C57" t="e">
        <f ca="1">IF(A57&gt;TODAY(),NA(),ملخص!$B$10-SUM($B$2:B57))</f>
        <v>#N/A</v>
      </c>
      <c r="D57">
        <f t="shared" si="1"/>
        <v>0</v>
      </c>
    </row>
    <row r="58" spans="1:4" x14ac:dyDescent="0.25">
      <c r="A58" s="12">
        <v>46368</v>
      </c>
      <c r="B58">
        <f>SUMIFS(سجل!$C:$C,سجل!$A:$A,A58)</f>
        <v>0</v>
      </c>
      <c r="C58" t="e">
        <f ca="1">IF(A58&gt;TODAY(),NA(),ملخص!$B$10-SUM($B$2:B58))</f>
        <v>#N/A</v>
      </c>
      <c r="D58">
        <f t="shared" si="1"/>
        <v>0</v>
      </c>
    </row>
    <row r="59" spans="1:4" x14ac:dyDescent="0.25">
      <c r="A59" s="12">
        <v>46369</v>
      </c>
      <c r="B59">
        <f>SUMIFS(سجل!$C:$C,سجل!$A:$A,A59)</f>
        <v>0</v>
      </c>
      <c r="C59" t="e">
        <f ca="1">IF(A59&gt;TODAY(),NA(),ملخص!$B$10-SUM($B$2:B59))</f>
        <v>#N/A</v>
      </c>
      <c r="D59">
        <f t="shared" si="1"/>
        <v>0</v>
      </c>
    </row>
    <row r="60" spans="1:4" x14ac:dyDescent="0.25">
      <c r="A60" s="12">
        <v>46370</v>
      </c>
      <c r="B60">
        <f>SUMIFS(سجل!$C:$C,سجل!$A:$A,A60)</f>
        <v>0</v>
      </c>
      <c r="C60" t="e">
        <f ca="1">IF(A60&gt;TODAY(),NA(),ملخص!$B$10-SUM($B$2:B60))</f>
        <v>#N/A</v>
      </c>
      <c r="D60">
        <f t="shared" si="1"/>
        <v>0</v>
      </c>
    </row>
    <row r="61" spans="1:4" x14ac:dyDescent="0.25">
      <c r="A61" s="12">
        <v>46371</v>
      </c>
      <c r="B61">
        <f>SUMIFS(سجل!$C:$C,سجل!$A:$A,A61)</f>
        <v>0</v>
      </c>
      <c r="C61" t="e">
        <f ca="1">IF(A61&gt;TODAY(),NA(),ملخص!$B$10-SUM($B$2:B61))</f>
        <v>#N/A</v>
      </c>
      <c r="D61">
        <f t="shared" si="1"/>
        <v>0</v>
      </c>
    </row>
    <row r="62" spans="1:4" x14ac:dyDescent="0.25">
      <c r="A62" s="12">
        <v>46372</v>
      </c>
      <c r="B62">
        <f>SUMIFS(سجل!$C:$C,سجل!$A:$A,A62)</f>
        <v>0</v>
      </c>
      <c r="C62" t="e">
        <f ca="1">IF(A62&gt;TODAY(),NA(),ملخص!$B$10-SUM($B$2:B62))</f>
        <v>#N/A</v>
      </c>
      <c r="D62">
        <f t="shared" si="1"/>
        <v>0</v>
      </c>
    </row>
    <row r="63" spans="1:4" x14ac:dyDescent="0.25">
      <c r="A63" s="12">
        <v>46373</v>
      </c>
      <c r="B63">
        <f>SUMIFS(سجل!$C:$C,سجل!$A:$A,A63)</f>
        <v>0</v>
      </c>
      <c r="C63" t="e">
        <f ca="1">IF(A63&gt;TODAY(),NA(),ملخص!$B$10-SUM($B$2:B63))</f>
        <v>#N/A</v>
      </c>
      <c r="D63">
        <f t="shared" si="1"/>
        <v>0</v>
      </c>
    </row>
    <row r="64" spans="1:4" x14ac:dyDescent="0.25">
      <c r="A64" s="12">
        <v>46374</v>
      </c>
      <c r="B64">
        <f>SUMIFS(سجل!$C:$C,سجل!$A:$A,A64)</f>
        <v>0</v>
      </c>
      <c r="C64" t="e">
        <f ca="1">IF(A64&gt;TODAY(),NA(),ملخص!$B$10-SUM($B$2:B64))</f>
        <v>#N/A</v>
      </c>
      <c r="D64">
        <f t="shared" si="1"/>
        <v>0</v>
      </c>
    </row>
    <row r="65" spans="1:4" x14ac:dyDescent="0.25">
      <c r="A65" s="12">
        <v>46375</v>
      </c>
      <c r="B65">
        <f>SUMIFS(سجل!$C:$C,سجل!$A:$A,A65)</f>
        <v>0</v>
      </c>
      <c r="C65" t="e">
        <f ca="1">IF(A65&gt;TODAY(),NA(),ملخص!$B$10-SUM($B$2:B65))</f>
        <v>#N/A</v>
      </c>
      <c r="D65">
        <f t="shared" si="1"/>
        <v>0</v>
      </c>
    </row>
    <row r="66" spans="1:4" x14ac:dyDescent="0.25">
      <c r="A66" s="12">
        <v>46376</v>
      </c>
      <c r="B66">
        <f>SUMIFS(سجل!$C:$C,سجل!$A:$A,A66)</f>
        <v>0</v>
      </c>
      <c r="C66" t="e">
        <f ca="1">IF(A66&gt;TODAY(),NA(),ملخص!$B$10-SUM($B$2:B66))</f>
        <v>#N/A</v>
      </c>
      <c r="D66">
        <f t="shared" si="1"/>
        <v>0</v>
      </c>
    </row>
    <row r="67" spans="1:4" x14ac:dyDescent="0.25">
      <c r="A67" s="12">
        <v>46377</v>
      </c>
      <c r="B67">
        <f>SUMIFS(سجل!$C:$C,سجل!$A:$A,A67)</f>
        <v>0</v>
      </c>
      <c r="C67" t="e">
        <f ca="1">IF(A67&gt;TODAY(),NA(),ملخص!$B$10-SUM($B$2:B67))</f>
        <v>#N/A</v>
      </c>
      <c r="D67">
        <f t="shared" si="1"/>
        <v>0</v>
      </c>
    </row>
    <row r="68" spans="1:4" x14ac:dyDescent="0.25">
      <c r="A68" s="12">
        <v>46378</v>
      </c>
      <c r="B68">
        <f>SUMIFS(سجل!$C:$C,سجل!$A:$A,A68)</f>
        <v>0</v>
      </c>
      <c r="C68" t="e">
        <f ca="1">IF(A68&gt;TODAY(),NA(),ملخص!$B$10-SUM($B$2:B68))</f>
        <v>#N/A</v>
      </c>
      <c r="D68">
        <f t="shared" si="1"/>
        <v>0</v>
      </c>
    </row>
    <row r="69" spans="1:4" x14ac:dyDescent="0.25">
      <c r="A69" s="12">
        <v>46379</v>
      </c>
      <c r="B69">
        <f>SUMIFS(سجل!$C:$C,سجل!$A:$A,A69)</f>
        <v>0</v>
      </c>
      <c r="C69" t="e">
        <f ca="1">IF(A69&gt;TODAY(),NA(),ملخص!$B$10-SUM($B$2:B69))</f>
        <v>#N/A</v>
      </c>
      <c r="D69">
        <f t="shared" si="1"/>
        <v>0</v>
      </c>
    </row>
    <row r="70" spans="1:4" x14ac:dyDescent="0.25">
      <c r="A70" s="12">
        <v>46380</v>
      </c>
      <c r="B70">
        <f>SUMIFS(سجل!$C:$C,سجل!$A:$A,A70)</f>
        <v>0</v>
      </c>
      <c r="C70" t="e">
        <f ca="1">IF(A70&gt;TODAY(),NA(),ملخص!$B$10-SUM($B$2:B70))</f>
        <v>#N/A</v>
      </c>
      <c r="D70">
        <f t="shared" si="1"/>
        <v>0</v>
      </c>
    </row>
    <row r="71" spans="1:4" x14ac:dyDescent="0.25">
      <c r="A71" s="12">
        <v>46381</v>
      </c>
      <c r="B71">
        <f>SUMIFS(سجل!$C:$C,سجل!$A:$A,A71)</f>
        <v>0</v>
      </c>
      <c r="C71" t="e">
        <f ca="1">IF(A71&gt;TODAY(),NA(),ملخص!$B$10-SUM($B$2:B71))</f>
        <v>#N/A</v>
      </c>
      <c r="D71">
        <f t="shared" si="1"/>
        <v>0</v>
      </c>
    </row>
    <row r="72" spans="1:4" x14ac:dyDescent="0.25">
      <c r="A72" s="12">
        <v>46382</v>
      </c>
      <c r="B72">
        <f>SUMIFS(سجل!$C:$C,سجل!$A:$A,A72)</f>
        <v>0</v>
      </c>
      <c r="C72" t="e">
        <f ca="1">IF(A72&gt;TODAY(),NA(),ملخص!$B$10-SUM($B$2:B72))</f>
        <v>#N/A</v>
      </c>
      <c r="D72">
        <f t="shared" ref="D72:D103" si="2">AVERAGE(B66:B72)</f>
        <v>0</v>
      </c>
    </row>
    <row r="73" spans="1:4" x14ac:dyDescent="0.25">
      <c r="A73" s="12">
        <v>46383</v>
      </c>
      <c r="B73">
        <f>SUMIFS(سجل!$C:$C,سجل!$A:$A,A73)</f>
        <v>0</v>
      </c>
      <c r="C73" t="e">
        <f ca="1">IF(A73&gt;TODAY(),NA(),ملخص!$B$10-SUM($B$2:B73))</f>
        <v>#N/A</v>
      </c>
      <c r="D73">
        <f t="shared" si="2"/>
        <v>0</v>
      </c>
    </row>
    <row r="74" spans="1:4" x14ac:dyDescent="0.25">
      <c r="A74" s="12">
        <v>46384</v>
      </c>
      <c r="B74">
        <f>SUMIFS(سجل!$C:$C,سجل!$A:$A,A74)</f>
        <v>0</v>
      </c>
      <c r="C74" t="e">
        <f ca="1">IF(A74&gt;TODAY(),NA(),ملخص!$B$10-SUM($B$2:B74))</f>
        <v>#N/A</v>
      </c>
      <c r="D74">
        <f t="shared" si="2"/>
        <v>0</v>
      </c>
    </row>
    <row r="75" spans="1:4" x14ac:dyDescent="0.25">
      <c r="A75" s="12">
        <v>46385</v>
      </c>
      <c r="B75">
        <f>SUMIFS(سجل!$C:$C,سجل!$A:$A,A75)</f>
        <v>0</v>
      </c>
      <c r="C75" t="e">
        <f ca="1">IF(A75&gt;TODAY(),NA(),ملخص!$B$10-SUM($B$2:B75))</f>
        <v>#N/A</v>
      </c>
      <c r="D75">
        <f t="shared" si="2"/>
        <v>0</v>
      </c>
    </row>
    <row r="76" spans="1:4" x14ac:dyDescent="0.25">
      <c r="A76" s="12">
        <v>46386</v>
      </c>
      <c r="B76">
        <f>SUMIFS(سجل!$C:$C,سجل!$A:$A,A76)</f>
        <v>0</v>
      </c>
      <c r="C76" t="e">
        <f ca="1">IF(A76&gt;TODAY(),NA(),ملخص!$B$10-SUM($B$2:B76))</f>
        <v>#N/A</v>
      </c>
      <c r="D76">
        <f t="shared" si="2"/>
        <v>0</v>
      </c>
    </row>
    <row r="77" spans="1:4" x14ac:dyDescent="0.25">
      <c r="A77" s="12">
        <v>46387</v>
      </c>
      <c r="B77">
        <f>SUMIFS(سجل!$C:$C,سجل!$A:$A,A77)</f>
        <v>0</v>
      </c>
      <c r="C77" t="e">
        <f ca="1">IF(A77&gt;TODAY(),NA(),ملخص!$B$10-SUM($B$2:B77))</f>
        <v>#N/A</v>
      </c>
      <c r="D77">
        <f t="shared" si="2"/>
        <v>0</v>
      </c>
    </row>
    <row r="78" spans="1:4" x14ac:dyDescent="0.25">
      <c r="A78" s="12">
        <v>46388</v>
      </c>
      <c r="B78">
        <f>SUMIFS(سجل!$C:$C,سجل!$A:$A,A78)</f>
        <v>0</v>
      </c>
      <c r="C78" t="e">
        <f ca="1">IF(A78&gt;TODAY(),NA(),ملخص!$B$10-SUM($B$2:B78))</f>
        <v>#N/A</v>
      </c>
      <c r="D78">
        <f t="shared" si="2"/>
        <v>0</v>
      </c>
    </row>
    <row r="79" spans="1:4" x14ac:dyDescent="0.25">
      <c r="A79" s="12">
        <v>46389</v>
      </c>
      <c r="B79">
        <f>SUMIFS(سجل!$C:$C,سجل!$A:$A,A79)</f>
        <v>0</v>
      </c>
      <c r="C79" t="e">
        <f ca="1">IF(A79&gt;TODAY(),NA(),ملخص!$B$10-SUM($B$2:B79))</f>
        <v>#N/A</v>
      </c>
      <c r="D79">
        <f t="shared" si="2"/>
        <v>0</v>
      </c>
    </row>
    <row r="80" spans="1:4" x14ac:dyDescent="0.25">
      <c r="A80" s="12">
        <v>46390</v>
      </c>
      <c r="B80">
        <f>SUMIFS(سجل!$C:$C,سجل!$A:$A,A80)</f>
        <v>0</v>
      </c>
      <c r="C80" t="e">
        <f ca="1">IF(A80&gt;TODAY(),NA(),ملخص!$B$10-SUM($B$2:B80))</f>
        <v>#N/A</v>
      </c>
      <c r="D80">
        <f t="shared" si="2"/>
        <v>0</v>
      </c>
    </row>
    <row r="81" spans="1:4" x14ac:dyDescent="0.25">
      <c r="A81" s="12">
        <v>46391</v>
      </c>
      <c r="B81">
        <f>SUMIFS(سجل!$C:$C,سجل!$A:$A,A81)</f>
        <v>0</v>
      </c>
      <c r="C81" t="e">
        <f ca="1">IF(A81&gt;TODAY(),NA(),ملخص!$B$10-SUM($B$2:B81))</f>
        <v>#N/A</v>
      </c>
      <c r="D81">
        <f t="shared" si="2"/>
        <v>0</v>
      </c>
    </row>
    <row r="82" spans="1:4" x14ac:dyDescent="0.25">
      <c r="A82" s="12">
        <v>46392</v>
      </c>
      <c r="B82">
        <f>SUMIFS(سجل!$C:$C,سجل!$A:$A,A82)</f>
        <v>0</v>
      </c>
      <c r="C82" t="e">
        <f ca="1">IF(A82&gt;TODAY(),NA(),ملخص!$B$10-SUM($B$2:B82))</f>
        <v>#N/A</v>
      </c>
      <c r="D82">
        <f t="shared" si="2"/>
        <v>0</v>
      </c>
    </row>
    <row r="83" spans="1:4" x14ac:dyDescent="0.25">
      <c r="A83" s="12">
        <v>46393</v>
      </c>
      <c r="B83">
        <f>SUMIFS(سجل!$C:$C,سجل!$A:$A,A83)</f>
        <v>0</v>
      </c>
      <c r="C83" t="e">
        <f ca="1">IF(A83&gt;TODAY(),NA(),ملخص!$B$10-SUM($B$2:B83))</f>
        <v>#N/A</v>
      </c>
      <c r="D83">
        <f t="shared" si="2"/>
        <v>0</v>
      </c>
    </row>
    <row r="84" spans="1:4" x14ac:dyDescent="0.25">
      <c r="A84" s="12">
        <v>46394</v>
      </c>
      <c r="B84">
        <f>SUMIFS(سجل!$C:$C,سجل!$A:$A,A84)</f>
        <v>0</v>
      </c>
      <c r="C84" t="e">
        <f ca="1">IF(A84&gt;TODAY(),NA(),ملخص!$B$10-SUM($B$2:B84))</f>
        <v>#N/A</v>
      </c>
      <c r="D84">
        <f t="shared" si="2"/>
        <v>0</v>
      </c>
    </row>
    <row r="85" spans="1:4" x14ac:dyDescent="0.25">
      <c r="A85" s="12">
        <v>46395</v>
      </c>
      <c r="B85">
        <f>SUMIFS(سجل!$C:$C,سجل!$A:$A,A85)</f>
        <v>0</v>
      </c>
      <c r="C85" t="e">
        <f ca="1">IF(A85&gt;TODAY(),NA(),ملخص!$B$10-SUM($B$2:B85))</f>
        <v>#N/A</v>
      </c>
      <c r="D85">
        <f t="shared" si="2"/>
        <v>0</v>
      </c>
    </row>
    <row r="86" spans="1:4" x14ac:dyDescent="0.25">
      <c r="A86" s="12">
        <v>46396</v>
      </c>
      <c r="B86">
        <f>SUMIFS(سجل!$C:$C,سجل!$A:$A,A86)</f>
        <v>0</v>
      </c>
      <c r="C86" t="e">
        <f ca="1">IF(A86&gt;TODAY(),NA(),ملخص!$B$10-SUM($B$2:B86))</f>
        <v>#N/A</v>
      </c>
      <c r="D86">
        <f t="shared" si="2"/>
        <v>0</v>
      </c>
    </row>
    <row r="87" spans="1:4" x14ac:dyDescent="0.25">
      <c r="A87" s="12">
        <v>46397</v>
      </c>
      <c r="B87">
        <f>SUMIFS(سجل!$C:$C,سجل!$A:$A,A87)</f>
        <v>0</v>
      </c>
      <c r="C87" t="e">
        <f ca="1">IF(A87&gt;TODAY(),NA(),ملخص!$B$10-SUM($B$2:B87))</f>
        <v>#N/A</v>
      </c>
      <c r="D87">
        <f t="shared" si="2"/>
        <v>0</v>
      </c>
    </row>
    <row r="88" spans="1:4" x14ac:dyDescent="0.25">
      <c r="A88" s="12">
        <v>46398</v>
      </c>
      <c r="B88">
        <f>SUMIFS(سجل!$C:$C,سجل!$A:$A,A88)</f>
        <v>0</v>
      </c>
      <c r="C88" t="e">
        <f ca="1">IF(A88&gt;TODAY(),NA(),ملخص!$B$10-SUM($B$2:B88))</f>
        <v>#N/A</v>
      </c>
      <c r="D88">
        <f t="shared" si="2"/>
        <v>0</v>
      </c>
    </row>
    <row r="89" spans="1:4" x14ac:dyDescent="0.25">
      <c r="A89" s="12">
        <v>46399</v>
      </c>
      <c r="B89">
        <f>SUMIFS(سجل!$C:$C,سجل!$A:$A,A89)</f>
        <v>0</v>
      </c>
      <c r="C89" t="e">
        <f ca="1">IF(A89&gt;TODAY(),NA(),ملخص!$B$10-SUM($B$2:B89))</f>
        <v>#N/A</v>
      </c>
      <c r="D89">
        <f t="shared" si="2"/>
        <v>0</v>
      </c>
    </row>
    <row r="90" spans="1:4" x14ac:dyDescent="0.25">
      <c r="A90" s="12">
        <v>46400</v>
      </c>
      <c r="B90">
        <f>SUMIFS(سجل!$C:$C,سجل!$A:$A,A90)</f>
        <v>0</v>
      </c>
      <c r="C90" t="e">
        <f ca="1">IF(A90&gt;TODAY(),NA(),ملخص!$B$10-SUM($B$2:B90))</f>
        <v>#N/A</v>
      </c>
      <c r="D90">
        <f t="shared" si="2"/>
        <v>0</v>
      </c>
    </row>
    <row r="91" spans="1:4" x14ac:dyDescent="0.25">
      <c r="A91" s="12">
        <v>46401</v>
      </c>
      <c r="B91">
        <f>SUMIFS(سجل!$C:$C,سجل!$A:$A,A91)</f>
        <v>0</v>
      </c>
      <c r="C91" t="e">
        <f ca="1">IF(A91&gt;TODAY(),NA(),ملخص!$B$10-SUM($B$2:B91))</f>
        <v>#N/A</v>
      </c>
      <c r="D91">
        <f t="shared" si="2"/>
        <v>0</v>
      </c>
    </row>
    <row r="92" spans="1:4" x14ac:dyDescent="0.25">
      <c r="A92" s="12">
        <v>46402</v>
      </c>
      <c r="B92">
        <f>SUMIFS(سجل!$C:$C,سجل!$A:$A,A92)</f>
        <v>0</v>
      </c>
      <c r="C92" t="e">
        <f ca="1">IF(A92&gt;TODAY(),NA(),ملخص!$B$10-SUM($B$2:B92))</f>
        <v>#N/A</v>
      </c>
      <c r="D92">
        <f t="shared" si="2"/>
        <v>0</v>
      </c>
    </row>
    <row r="93" spans="1:4" x14ac:dyDescent="0.25">
      <c r="A93" s="12">
        <v>46403</v>
      </c>
      <c r="B93">
        <f>SUMIFS(سجل!$C:$C,سجل!$A:$A,A93)</f>
        <v>0</v>
      </c>
      <c r="C93" t="e">
        <f ca="1">IF(A93&gt;TODAY(),NA(),ملخص!$B$10-SUM($B$2:B93))</f>
        <v>#N/A</v>
      </c>
      <c r="D93">
        <f t="shared" si="2"/>
        <v>0</v>
      </c>
    </row>
    <row r="94" spans="1:4" x14ac:dyDescent="0.25">
      <c r="A94" s="12">
        <v>46404</v>
      </c>
      <c r="B94">
        <f>SUMIFS(سجل!$C:$C,سجل!$A:$A,A94)</f>
        <v>0</v>
      </c>
      <c r="C94" t="e">
        <f ca="1">IF(A94&gt;TODAY(),NA(),ملخص!$B$10-SUM($B$2:B94))</f>
        <v>#N/A</v>
      </c>
      <c r="D94">
        <f t="shared" si="2"/>
        <v>0</v>
      </c>
    </row>
    <row r="95" spans="1:4" x14ac:dyDescent="0.25">
      <c r="A95" s="12">
        <v>46405</v>
      </c>
      <c r="B95">
        <f>SUMIFS(سجل!$C:$C,سجل!$A:$A,A95)</f>
        <v>0</v>
      </c>
      <c r="C95" t="e">
        <f ca="1">IF(A95&gt;TODAY(),NA(),ملخص!$B$10-SUM($B$2:B95))</f>
        <v>#N/A</v>
      </c>
      <c r="D95">
        <f t="shared" si="2"/>
        <v>0</v>
      </c>
    </row>
    <row r="96" spans="1:4" x14ac:dyDescent="0.25">
      <c r="A96" s="12">
        <v>46406</v>
      </c>
      <c r="B96">
        <f>SUMIFS(سجل!$C:$C,سجل!$A:$A,A96)</f>
        <v>0</v>
      </c>
      <c r="C96" t="e">
        <f ca="1">IF(A96&gt;TODAY(),NA(),ملخص!$B$10-SUM($B$2:B96))</f>
        <v>#N/A</v>
      </c>
      <c r="D96">
        <f t="shared" si="2"/>
        <v>0</v>
      </c>
    </row>
    <row r="97" spans="1:4" x14ac:dyDescent="0.25">
      <c r="A97" s="12">
        <v>46407</v>
      </c>
      <c r="B97">
        <f>SUMIFS(سجل!$C:$C,سجل!$A:$A,A97)</f>
        <v>0</v>
      </c>
      <c r="C97" t="e">
        <f ca="1">IF(A97&gt;TODAY(),NA(),ملخص!$B$10-SUM($B$2:B97))</f>
        <v>#N/A</v>
      </c>
      <c r="D97">
        <f t="shared" si="2"/>
        <v>0</v>
      </c>
    </row>
    <row r="98" spans="1:4" x14ac:dyDescent="0.25">
      <c r="A98" s="12">
        <v>46408</v>
      </c>
      <c r="B98">
        <f>SUMIFS(سجل!$C:$C,سجل!$A:$A,A98)</f>
        <v>0</v>
      </c>
      <c r="C98" t="e">
        <f ca="1">IF(A98&gt;TODAY(),NA(),ملخص!$B$10-SUM($B$2:B98))</f>
        <v>#N/A</v>
      </c>
      <c r="D98">
        <f t="shared" si="2"/>
        <v>0</v>
      </c>
    </row>
    <row r="99" spans="1:4" x14ac:dyDescent="0.25">
      <c r="A99" s="12">
        <v>46409</v>
      </c>
      <c r="B99">
        <f>SUMIFS(سجل!$C:$C,سجل!$A:$A,A99)</f>
        <v>0</v>
      </c>
      <c r="C99" t="e">
        <f ca="1">IF(A99&gt;TODAY(),NA(),ملخص!$B$10-SUM($B$2:B99))</f>
        <v>#N/A</v>
      </c>
      <c r="D99">
        <f t="shared" si="2"/>
        <v>0</v>
      </c>
    </row>
    <row r="100" spans="1:4" x14ac:dyDescent="0.25">
      <c r="A100" s="12">
        <v>46410</v>
      </c>
      <c r="B100">
        <f>SUMIFS(سجل!$C:$C,سجل!$A:$A,A100)</f>
        <v>0</v>
      </c>
      <c r="C100" t="e">
        <f ca="1">IF(A100&gt;TODAY(),NA(),ملخص!$B$10-SUM($B$2:B100))</f>
        <v>#N/A</v>
      </c>
      <c r="D100">
        <f t="shared" si="2"/>
        <v>0</v>
      </c>
    </row>
    <row r="101" spans="1:4" x14ac:dyDescent="0.25">
      <c r="A101" s="12">
        <v>46411</v>
      </c>
      <c r="B101">
        <f>SUMIFS(سجل!$C:$C,سجل!$A:$A,A101)</f>
        <v>0</v>
      </c>
      <c r="C101" t="e">
        <f ca="1">IF(A101&gt;TODAY(),NA(),ملخص!$B$10-SUM($B$2:B101))</f>
        <v>#N/A</v>
      </c>
      <c r="D101">
        <f t="shared" si="2"/>
        <v>0</v>
      </c>
    </row>
    <row r="102" spans="1:4" x14ac:dyDescent="0.25">
      <c r="A102" s="12">
        <v>46412</v>
      </c>
      <c r="B102">
        <f>SUMIFS(سجل!$C:$C,سجل!$A:$A,A102)</f>
        <v>0</v>
      </c>
      <c r="C102" t="e">
        <f ca="1">IF(A102&gt;TODAY(),NA(),ملخص!$B$10-SUM($B$2:B102))</f>
        <v>#N/A</v>
      </c>
      <c r="D102">
        <f t="shared" si="2"/>
        <v>0</v>
      </c>
    </row>
    <row r="103" spans="1:4" x14ac:dyDescent="0.25">
      <c r="A103" s="12">
        <v>46413</v>
      </c>
      <c r="B103">
        <f>SUMIFS(سجل!$C:$C,سجل!$A:$A,A103)</f>
        <v>0</v>
      </c>
      <c r="C103" t="e">
        <f ca="1">IF(A103&gt;TODAY(),NA(),ملخص!$B$10-SUM($B$2:B103))</f>
        <v>#N/A</v>
      </c>
      <c r="D103">
        <f t="shared" si="2"/>
        <v>0</v>
      </c>
    </row>
    <row r="104" spans="1:4" x14ac:dyDescent="0.25">
      <c r="A104" s="12">
        <v>46414</v>
      </c>
      <c r="B104">
        <f>SUMIFS(سجل!$C:$C,سجل!$A:$A,A104)</f>
        <v>0</v>
      </c>
      <c r="C104" t="e">
        <f ca="1">IF(A104&gt;TODAY(),NA(),ملخص!$B$10-SUM($B$2:B104))</f>
        <v>#N/A</v>
      </c>
      <c r="D104">
        <f t="shared" ref="D104:D135" si="3">AVERAGE(B98:B104)</f>
        <v>0</v>
      </c>
    </row>
    <row r="105" spans="1:4" x14ac:dyDescent="0.25">
      <c r="A105" s="12">
        <v>46415</v>
      </c>
      <c r="B105">
        <f>SUMIFS(سجل!$C:$C,سجل!$A:$A,A105)</f>
        <v>0</v>
      </c>
      <c r="C105" t="e">
        <f ca="1">IF(A105&gt;TODAY(),NA(),ملخص!$B$10-SUM($B$2:B105))</f>
        <v>#N/A</v>
      </c>
      <c r="D105">
        <f t="shared" si="3"/>
        <v>0</v>
      </c>
    </row>
    <row r="106" spans="1:4" x14ac:dyDescent="0.25">
      <c r="A106" s="12">
        <v>46416</v>
      </c>
      <c r="B106">
        <f>SUMIFS(سجل!$C:$C,سجل!$A:$A,A106)</f>
        <v>0</v>
      </c>
      <c r="C106" t="e">
        <f ca="1">IF(A106&gt;TODAY(),NA(),ملخص!$B$10-SUM($B$2:B106))</f>
        <v>#N/A</v>
      </c>
      <c r="D106">
        <f t="shared" si="3"/>
        <v>0</v>
      </c>
    </row>
    <row r="107" spans="1:4" x14ac:dyDescent="0.25">
      <c r="A107" s="12">
        <v>46417</v>
      </c>
      <c r="B107">
        <f>SUMIFS(سجل!$C:$C,سجل!$A:$A,A107)</f>
        <v>0</v>
      </c>
      <c r="C107" t="e">
        <f ca="1">IF(A107&gt;TODAY(),NA(),ملخص!$B$10-SUM($B$2:B107))</f>
        <v>#N/A</v>
      </c>
      <c r="D107">
        <f t="shared" si="3"/>
        <v>0</v>
      </c>
    </row>
    <row r="108" spans="1:4" x14ac:dyDescent="0.25">
      <c r="A108" s="12">
        <v>46418</v>
      </c>
      <c r="B108">
        <f>SUMIFS(سجل!$C:$C,سجل!$A:$A,A108)</f>
        <v>0</v>
      </c>
      <c r="C108" t="e">
        <f ca="1">IF(A108&gt;TODAY(),NA(),ملخص!$B$10-SUM($B$2:B108))</f>
        <v>#N/A</v>
      </c>
      <c r="D108">
        <f t="shared" si="3"/>
        <v>0</v>
      </c>
    </row>
    <row r="109" spans="1:4" x14ac:dyDescent="0.25">
      <c r="A109" s="12">
        <v>46419</v>
      </c>
      <c r="B109">
        <f>SUMIFS(سجل!$C:$C,سجل!$A:$A,A109)</f>
        <v>0</v>
      </c>
      <c r="C109" t="e">
        <f ca="1">IF(A109&gt;TODAY(),NA(),ملخص!$B$10-SUM($B$2:B109))</f>
        <v>#N/A</v>
      </c>
      <c r="D109">
        <f t="shared" si="3"/>
        <v>0</v>
      </c>
    </row>
    <row r="110" spans="1:4" x14ac:dyDescent="0.25">
      <c r="A110" s="12">
        <v>46420</v>
      </c>
      <c r="B110">
        <f>SUMIFS(سجل!$C:$C,سجل!$A:$A,A110)</f>
        <v>0</v>
      </c>
      <c r="C110" t="e">
        <f ca="1">IF(A110&gt;TODAY(),NA(),ملخص!$B$10-SUM($B$2:B110))</f>
        <v>#N/A</v>
      </c>
      <c r="D110">
        <f t="shared" si="3"/>
        <v>0</v>
      </c>
    </row>
    <row r="111" spans="1:4" x14ac:dyDescent="0.25">
      <c r="A111" s="12">
        <v>46421</v>
      </c>
      <c r="B111">
        <f>SUMIFS(سجل!$C:$C,سجل!$A:$A,A111)</f>
        <v>0</v>
      </c>
      <c r="C111" t="e">
        <f ca="1">IF(A111&gt;TODAY(),NA(),ملخص!$B$10-SUM($B$2:B111))</f>
        <v>#N/A</v>
      </c>
      <c r="D111">
        <f t="shared" si="3"/>
        <v>0</v>
      </c>
    </row>
    <row r="112" spans="1:4" x14ac:dyDescent="0.25">
      <c r="A112" s="12">
        <v>46422</v>
      </c>
      <c r="B112">
        <f>SUMIFS(سجل!$C:$C,سجل!$A:$A,A112)</f>
        <v>0</v>
      </c>
      <c r="C112" t="e">
        <f ca="1">IF(A112&gt;TODAY(),NA(),ملخص!$B$10-SUM($B$2:B112))</f>
        <v>#N/A</v>
      </c>
      <c r="D112">
        <f t="shared" si="3"/>
        <v>0</v>
      </c>
    </row>
    <row r="113" spans="1:4" x14ac:dyDescent="0.25">
      <c r="A113" s="12">
        <v>46423</v>
      </c>
      <c r="B113">
        <f>SUMIFS(سجل!$C:$C,سجل!$A:$A,A113)</f>
        <v>0</v>
      </c>
      <c r="C113" t="e">
        <f ca="1">IF(A113&gt;TODAY(),NA(),ملخص!$B$10-SUM($B$2:B113))</f>
        <v>#N/A</v>
      </c>
      <c r="D113">
        <f t="shared" si="3"/>
        <v>0</v>
      </c>
    </row>
    <row r="114" spans="1:4" x14ac:dyDescent="0.25">
      <c r="A114" s="12">
        <v>46424</v>
      </c>
      <c r="B114">
        <f>SUMIFS(سجل!$C:$C,سجل!$A:$A,A114)</f>
        <v>0</v>
      </c>
      <c r="C114" t="e">
        <f ca="1">IF(A114&gt;TODAY(),NA(),ملخص!$B$10-SUM($B$2:B114))</f>
        <v>#N/A</v>
      </c>
      <c r="D114">
        <f t="shared" si="3"/>
        <v>0</v>
      </c>
    </row>
    <row r="115" spans="1:4" x14ac:dyDescent="0.25">
      <c r="A115" s="12">
        <v>46425</v>
      </c>
      <c r="B115">
        <f>SUMIFS(سجل!$C:$C,سجل!$A:$A,A115)</f>
        <v>0</v>
      </c>
      <c r="C115" t="e">
        <f ca="1">IF(A115&gt;TODAY(),NA(),ملخص!$B$10-SUM($B$2:B115))</f>
        <v>#N/A</v>
      </c>
      <c r="D115">
        <f t="shared" si="3"/>
        <v>0</v>
      </c>
    </row>
    <row r="116" spans="1:4" x14ac:dyDescent="0.25">
      <c r="A116" s="12">
        <v>46426</v>
      </c>
      <c r="B116">
        <f>SUMIFS(سجل!$C:$C,سجل!$A:$A,A116)</f>
        <v>0</v>
      </c>
      <c r="C116" t="e">
        <f ca="1">IF(A116&gt;TODAY(),NA(),ملخص!$B$10-SUM($B$2:B116))</f>
        <v>#N/A</v>
      </c>
      <c r="D116">
        <f t="shared" si="3"/>
        <v>0</v>
      </c>
    </row>
    <row r="117" spans="1:4" x14ac:dyDescent="0.25">
      <c r="A117" s="12">
        <v>46427</v>
      </c>
      <c r="B117">
        <f>SUMIFS(سجل!$C:$C,سجل!$A:$A,A117)</f>
        <v>0</v>
      </c>
      <c r="C117" t="e">
        <f ca="1">IF(A117&gt;TODAY(),NA(),ملخص!$B$10-SUM($B$2:B117))</f>
        <v>#N/A</v>
      </c>
      <c r="D117">
        <f t="shared" si="3"/>
        <v>0</v>
      </c>
    </row>
    <row r="118" spans="1:4" x14ac:dyDescent="0.25">
      <c r="A118" s="12">
        <v>46428</v>
      </c>
      <c r="B118">
        <f>SUMIFS(سجل!$C:$C,سجل!$A:$A,A118)</f>
        <v>0</v>
      </c>
      <c r="C118" t="e">
        <f ca="1">IF(A118&gt;TODAY(),NA(),ملخص!$B$10-SUM($B$2:B118))</f>
        <v>#N/A</v>
      </c>
      <c r="D118">
        <f t="shared" si="3"/>
        <v>0</v>
      </c>
    </row>
    <row r="119" spans="1:4" x14ac:dyDescent="0.25">
      <c r="A119" s="12">
        <v>46429</v>
      </c>
      <c r="B119">
        <f>SUMIFS(سجل!$C:$C,سجل!$A:$A,A119)</f>
        <v>0</v>
      </c>
      <c r="C119" t="e">
        <f ca="1">IF(A119&gt;TODAY(),NA(),ملخص!$B$10-SUM($B$2:B119))</f>
        <v>#N/A</v>
      </c>
      <c r="D119">
        <f t="shared" si="3"/>
        <v>0</v>
      </c>
    </row>
    <row r="120" spans="1:4" x14ac:dyDescent="0.25">
      <c r="A120" s="12">
        <v>46430</v>
      </c>
      <c r="B120">
        <f>SUMIFS(سجل!$C:$C,سجل!$A:$A,A120)</f>
        <v>0</v>
      </c>
      <c r="C120" t="e">
        <f ca="1">IF(A120&gt;TODAY(),NA(),ملخص!$B$10-SUM($B$2:B120))</f>
        <v>#N/A</v>
      </c>
      <c r="D120">
        <f t="shared" si="3"/>
        <v>0</v>
      </c>
    </row>
    <row r="121" spans="1:4" x14ac:dyDescent="0.25">
      <c r="A121" s="12">
        <v>46431</v>
      </c>
      <c r="B121">
        <f>SUMIFS(سجل!$C:$C,سجل!$A:$A,A121)</f>
        <v>0</v>
      </c>
      <c r="C121" t="e">
        <f ca="1">IF(A121&gt;TODAY(),NA(),ملخص!$B$10-SUM($B$2:B121))</f>
        <v>#N/A</v>
      </c>
      <c r="D121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لوحة</vt:lpstr>
      <vt:lpstr>ملخص</vt:lpstr>
      <vt:lpstr>سجل</vt:lpstr>
      <vt:lpstr>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MOHSEN MOHAMMED AL-SAKKAF</cp:lastModifiedBy>
  <dcterms:created xsi:type="dcterms:W3CDTF">2026-10-17T15:53:03Z</dcterms:created>
  <dcterms:modified xsi:type="dcterms:W3CDTF">2026-10-23T14:14:46Z</dcterms:modified>
</cp:coreProperties>
</file>