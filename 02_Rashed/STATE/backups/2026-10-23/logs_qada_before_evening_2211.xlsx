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وحة" sheetId="1" state="visible" r:id="rId1"/>
    <sheet xmlns:r="http://schemas.openxmlformats.org/officeDocument/2006/relationships" name="ملخص" sheetId="2" state="visible" r:id="rId2"/>
    <sheet xmlns:r="http://schemas.openxmlformats.org/officeDocument/2006/relationships" name="سجل" sheetId="3" state="visible" r:id="rId3"/>
    <sheet xmlns:r="http://schemas.openxmlformats.org/officeDocument/2006/relationships" name="بيانات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mm-dd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1F4E78"/>
      <sz val="20"/>
    </font>
    <font>
      <i val="1"/>
      <color rgb="007F7F7F"/>
    </font>
    <font>
      <b val="1"/>
      <color rgb="00C00000"/>
      <sz val="18"/>
    </font>
    <font>
      <b val="1"/>
      <color rgb="002E7D32"/>
      <sz val="18"/>
    </font>
    <font>
      <b val="1"/>
      <color rgb="001F4E78"/>
      <sz val="18"/>
    </font>
    <font>
      <b val="1"/>
      <color rgb="007B1FA2"/>
      <sz val="18"/>
    </font>
    <font>
      <b val="1"/>
      <color rgb="00E65100"/>
      <sz val="18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2E7D32"/>
      </patternFill>
    </fill>
    <fill>
      <patternFill patternType="solid">
        <fgColor rgb="007B1FA2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2" fontId="0" fillId="0" borderId="1" pivotButton="0" quotePrefix="0" xfId="0"/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2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5" fontId="8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التقدّم لكل صلاة: تم / متبقي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'ملخص'!C4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cat>
            <numRef>
              <f>'ملخص'!$A$5:$A$9</f>
            </numRef>
          </cat>
          <val>
            <numRef>
              <f>'ملخص'!$C$5:$C$9</f>
            </numRef>
          </val>
        </ser>
        <ser>
          <idx val="1"/>
          <order val="1"/>
          <tx>
            <strRef>
              <f>'ملخص'!D4</f>
            </strRef>
          </tx>
          <spPr>
            <a:solidFill xmlns:a="http://schemas.openxmlformats.org/drawingml/2006/main">
              <a:srgbClr val="E0E0E0"/>
            </a:solidFill>
            <a:ln xmlns:a="http://schemas.openxmlformats.org/drawingml/2006/main">
              <a:prstDash val="solid"/>
            </a:ln>
          </spPr>
          <cat>
            <numRef>
              <f>'ملخص'!$A$5:$A$9</f>
            </numRef>
          </cat>
          <val>
            <numRef>
              <f>'ملخص'!$D$5:$D$9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الإنجاز الكلي</a:t>
            </a:r>
          </a:p>
        </rich>
      </tx>
    </title>
    <plotArea>
      <doughnutChart>
        <varyColors val="1"/>
        <ser>
          <idx val="0"/>
          <order val="0"/>
          <tx>
            <strRef>
              <f>'بيانات'!J1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0E0E0"/>
              </a:solidFill>
              <a:ln xmlns:a="http://schemas.openxmlformats.org/drawingml/2006/main">
                <a:prstDash val="solid"/>
              </a:ln>
            </spPr>
          </dPt>
          <dLbls>
            <showPercent val="1"/>
          </dLbls>
          <cat>
            <numRef>
              <f>'بيانات'!$I$2:$I$3</f>
            </numRef>
          </cat>
          <val>
            <numRef>
              <f>'بيانات'!$J$2:$J$3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المتبقي مع الوقت (منحنى الإنجاز)</a:t>
            </a:r>
          </a:p>
        </rich>
      </tx>
    </title>
    <plotArea>
      <lineChart>
        <grouping val="standard"/>
        <ser>
          <idx val="0"/>
          <order val="0"/>
          <tx>
            <strRef>
              <f>'بيانات'!C1</f>
            </strRef>
          </tx>
          <spPr>
            <a:ln xmlns:a="http://schemas.openxmlformats.org/drawingml/2006/main" w="28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'بيانات'!$A$2:$A$121</f>
            </numRef>
          </cat>
          <val>
            <numRef>
              <f>'بيانات'!$C$2:$C$121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متبقي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القضاء اليومي + متوسط ٧ أيام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'بيانات'!B1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>
              <a:prstDash val="solid"/>
            </a:ln>
          </spPr>
          <cat>
            <numRef>
              <f>'بيانات'!$A$2:$A$121</f>
            </numRef>
          </cat>
          <val>
            <numRef>
              <f>'بيانات'!$B$2:$B$121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'بيانات'!D1</f>
            </strRef>
          </tx>
          <spPr>
            <a:ln xmlns:a="http://schemas.openxmlformats.org/drawingml/2006/main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'بيانات'!$D$2:$D$121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القضاء الأسبوعي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'بيانات'!G1</f>
            </strRef>
          </tx>
          <spPr>
            <a:solidFill xmlns:a="http://schemas.openxmlformats.org/drawingml/2006/main">
              <a:srgbClr val="7B1FA2"/>
            </a:solidFill>
            <a:ln xmlns:a="http://schemas.openxmlformats.org/drawingml/2006/main">
              <a:prstDash val="solid"/>
            </a:ln>
          </spPr>
          <cat>
            <numRef>
              <f>'بيانات'!$F$2:$F$27</f>
            </numRef>
          </cat>
          <val>
            <numRef>
              <f>'بيانات'!$G$2:$G$27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المتبقي لكل صلاة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'ملخص'!D4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dLbls>
            <showVal val="1"/>
          </dLbls>
          <cat>
            <numRef>
              <f>'ملخص'!$A$5:$A$9</f>
            </numRef>
          </cat>
          <val>
            <numRef>
              <f>'ملخص'!$D$5:$D$9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</row>
      <rowOff>0</rowOff>
    </from>
    <ext cx="32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22</row>
      <rowOff>0</rowOff>
    </from>
    <ext cx="324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38</row>
      <rowOff>0</rowOff>
    </from>
    <ext cx="57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38</row>
      <rowOff>0</rowOff>
    </from>
    <ext cx="324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rightToLeft="1" workbookViewId="0">
      <selection activeCell="A1" sqref="A1"/>
    </sheetView>
  </sheetViews>
  <sheetFormatPr baseColWidth="8" defaultRowHeight="15"/>
  <sheetData>
    <row r="1">
      <c r="A1" s="11" t="inlineStr">
        <is>
          <t>لوحة متابعة قضاء الصلوات</t>
        </is>
      </c>
    </row>
    <row r="2">
      <c r="A2" s="12" t="inlineStr">
        <is>
          <t>تتحدث تلقائيًا من ورقة «سجل»</t>
        </is>
      </c>
    </row>
    <row r="4">
      <c r="A4" s="13" t="inlineStr">
        <is>
          <t>المتبقي</t>
        </is>
      </c>
      <c r="D4" s="14" t="inlineStr">
        <is>
          <t>تم قضاؤه</t>
        </is>
      </c>
      <c r="G4" s="15" t="inlineStr">
        <is>
          <t>الإنجاز</t>
        </is>
      </c>
      <c r="J4" s="16" t="inlineStr">
        <is>
          <t>المعدل اليومي</t>
        </is>
      </c>
      <c r="M4" s="17" t="inlineStr">
        <is>
          <t>الانتهاء المتوقع</t>
        </is>
      </c>
    </row>
    <row r="5" ht="32" customHeight="1">
      <c r="A5" s="18">
        <f>ملخص!D10</f>
        <v/>
      </c>
      <c r="D5" s="19">
        <f>ملخص!C10</f>
        <v/>
      </c>
      <c r="G5" s="20">
        <f>ملخص!E10</f>
        <v/>
      </c>
      <c r="J5" s="21">
        <f>ملخص!B17</f>
        <v/>
      </c>
      <c r="M5" s="22">
        <f>ملخص!B19</f>
        <v/>
      </c>
    </row>
  </sheetData>
  <mergeCells count="10">
    <mergeCell ref="A4:B4"/>
    <mergeCell ref="G4:H4"/>
    <mergeCell ref="J4:K4"/>
    <mergeCell ref="J5:K5"/>
    <mergeCell ref="D5:E5"/>
    <mergeCell ref="A5:B5"/>
    <mergeCell ref="G5:H5"/>
    <mergeCell ref="D4:E4"/>
    <mergeCell ref="M5:N5"/>
    <mergeCell ref="M4:N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قضاء الصلوات الفائتة</t>
        </is>
      </c>
    </row>
    <row r="2">
      <c r="A2" t="inlineStr">
        <is>
          <t>تاريخ البداية</t>
        </is>
      </c>
      <c r="B2" s="2" t="n">
        <v>46312</v>
      </c>
    </row>
    <row r="4">
      <c r="A4" s="3" t="inlineStr">
        <is>
          <t>الصلاة</t>
        </is>
      </c>
      <c r="B4" s="3" t="inlineStr">
        <is>
          <t>الأصل</t>
        </is>
      </c>
      <c r="C4" s="3" t="inlineStr">
        <is>
          <t>تم قضاؤه</t>
        </is>
      </c>
      <c r="D4" s="3" t="inlineStr">
        <is>
          <t>المتبقي</t>
        </is>
      </c>
      <c r="E4" s="3" t="inlineStr">
        <is>
          <t>نسبة الإنجاز</t>
        </is>
      </c>
      <c r="F4" s="3" t="inlineStr">
        <is>
          <t>آخر قضاء</t>
        </is>
      </c>
    </row>
    <row r="5">
      <c r="A5" s="4" t="inlineStr">
        <is>
          <t>الفجر</t>
        </is>
      </c>
      <c r="B5" s="4">
        <f>273+4+1</f>
        <v>278</v>
      </c>
      <c r="C5" s="4">
        <f>SUMIFS(سجل!$C:$C,سجل!$B:$B,A5)</f>
        <v/>
      </c>
      <c r="D5" s="4">
        <f>MAX(0,B5-C5)</f>
        <v/>
      </c>
      <c r="E5" s="5">
        <f>IF(B5=0,0,C5/B5)</f>
        <v/>
      </c>
      <c r="F5" s="6">
        <f>IFERROR(LOOKUP(2,1/(سجل!$B$2:$B$5000=A5),سجل!$A$2:$A$5000),"")</f>
        <v/>
      </c>
    </row>
    <row r="6">
      <c r="A6" s="4" t="inlineStr">
        <is>
          <t>الظهر</t>
        </is>
      </c>
      <c r="B6" s="4">
        <f>358+4+1+1</f>
        <v>364</v>
      </c>
      <c r="C6" s="4">
        <f>SUMIFS(سجل!$C:$C,سجل!$B:$B,A6)</f>
        <v/>
      </c>
      <c r="D6" s="4">
        <f>MAX(0,B6-C6)</f>
        <v/>
      </c>
      <c r="E6" s="5">
        <f>IF(B6=0,0,C6/B6)</f>
        <v/>
      </c>
      <c r="F6" s="6">
        <f>IFERROR(LOOKUP(2,1/(سجل!$B$2:$B$5000=A6),سجل!$A$2:$A$5000),"")</f>
        <v/>
      </c>
    </row>
    <row r="7">
      <c r="A7" s="4" t="inlineStr">
        <is>
          <t>العصر</t>
        </is>
      </c>
      <c r="B7" s="4">
        <f>400+4+1+1</f>
        <v>406</v>
      </c>
      <c r="C7" s="4">
        <f>SUMIFS(سجل!$C:$C,سجل!$B:$B,A7)</f>
        <v/>
      </c>
      <c r="D7" s="4">
        <f>MAX(0,B7-C7)</f>
        <v/>
      </c>
      <c r="E7" s="5">
        <f>IF(B7=0,0,C7/B7)</f>
        <v/>
      </c>
      <c r="F7" s="6">
        <f>IFERROR(LOOKUP(2,1/(سجل!$B$2:$B$5000=A7),سجل!$A$2:$A$5000),"")</f>
        <v/>
      </c>
    </row>
    <row r="8">
      <c r="A8" s="4" t="inlineStr">
        <is>
          <t>المغرب</t>
        </is>
      </c>
      <c r="B8" s="4">
        <f>403+4+1+1</f>
        <v>409</v>
      </c>
      <c r="C8" s="4">
        <f>SUMIFS(سجل!$C:$C,سجل!$B:$B,A8)</f>
        <v/>
      </c>
      <c r="D8" s="4">
        <f>MAX(0,B8-C8)</f>
        <v/>
      </c>
      <c r="E8" s="5">
        <f>IF(B8=0,0,C8/B8)</f>
        <v/>
      </c>
      <c r="F8" s="6">
        <f>IFERROR(LOOKUP(2,1/(سجل!$B$2:$B$5000=A8),سجل!$A$2:$A$5000),"")</f>
        <v/>
      </c>
    </row>
    <row r="9">
      <c r="A9" s="4" t="inlineStr">
        <is>
          <t>العشاء</t>
        </is>
      </c>
      <c r="B9" s="4">
        <f>450+4+1+1</f>
        <v>456</v>
      </c>
      <c r="C9" s="4">
        <f>SUMIFS(سجل!$C:$C,سجل!$B:$B,A9)</f>
        <v/>
      </c>
      <c r="D9" s="4">
        <f>MAX(0,B9-C9)</f>
        <v/>
      </c>
      <c r="E9" s="5">
        <f>IF(B9=0,0,C9/B9)</f>
        <v/>
      </c>
      <c r="F9" s="6">
        <f>IFERROR(LOOKUP(2,1/(سجل!$B$2:$B$5000=A9),سجل!$A$2:$A$5000),"")</f>
        <v/>
      </c>
    </row>
    <row r="10">
      <c r="A10" s="7" t="inlineStr">
        <is>
          <t>المجموع</t>
        </is>
      </c>
      <c r="B10" s="7">
        <f>SUM(B5:B9)</f>
        <v/>
      </c>
      <c r="C10" s="7">
        <f>SUM(C5:C9)</f>
        <v/>
      </c>
      <c r="D10" s="7">
        <f>SUM(D5:D9)</f>
        <v/>
      </c>
      <c r="E10" s="8">
        <f>IF(B10=0,0,C10/B10)</f>
        <v/>
      </c>
      <c r="F10" s="7" t="n"/>
    </row>
    <row r="12">
      <c r="A12" s="7" t="inlineStr">
        <is>
          <t>قضاء اليوم</t>
        </is>
      </c>
      <c r="B12" s="4">
        <f>SUMIFS(سجل!$C:$C,سجل!$A:$A,TODAY())</f>
        <v/>
      </c>
    </row>
    <row r="13">
      <c r="A13" s="7" t="inlineStr">
        <is>
          <t>قضاء آخر ٧ أيام</t>
        </is>
      </c>
      <c r="B13" s="4">
        <f>SUMIFS(سجل!$C:$C,سجل!$A:$A,"&gt;="&amp;(TODAY()-6))</f>
        <v/>
      </c>
    </row>
    <row r="14">
      <c r="A14" s="7" t="inlineStr">
        <is>
          <t>قضاء هذا الشهر</t>
        </is>
      </c>
      <c r="B14" s="4">
        <f>SUMIFS(سجل!$C:$C,سجل!$A:$A,"&gt;="&amp;DATE(YEAR(TODAY()),MONTH(TODAY()),1))</f>
        <v/>
      </c>
    </row>
    <row r="15">
      <c r="A15" s="7" t="inlineStr">
        <is>
          <t>عدد الأيام من البداية</t>
        </is>
      </c>
      <c r="B15" s="4">
        <f>MAX(1,TODAY()-B2+1)</f>
        <v/>
      </c>
    </row>
    <row r="16">
      <c r="A16" s="7" t="inlineStr">
        <is>
          <t>أيام فيها قضاء</t>
        </is>
      </c>
      <c r="B16" s="4">
        <f>SUMPRODUCT(--(FREQUENCY(سجل!$A$2:$A$5000,سجل!$A$2:$A$5000)&gt;0))</f>
        <v/>
      </c>
    </row>
    <row r="17">
      <c r="A17" s="7" t="inlineStr">
        <is>
          <t>المعدل اليومي</t>
        </is>
      </c>
      <c r="B17" s="9">
        <f>C10/B15</f>
        <v/>
      </c>
    </row>
    <row r="18">
      <c r="A18" s="7" t="inlineStr">
        <is>
          <t>الأيام المتبقية بهذا المعدل</t>
        </is>
      </c>
      <c r="B18" s="4">
        <f>IF(B17=0,"ابدأ القضاء",ROUNDUP(D10/B17,0))</f>
        <v/>
      </c>
    </row>
    <row r="19">
      <c r="A19" s="7" t="inlineStr">
        <is>
          <t>تاريخ الانتهاء المتوقع</t>
        </is>
      </c>
      <c r="B19" s="6">
        <f>IF(B17=0,"—",TODAY()+B18)</f>
        <v/>
      </c>
    </row>
    <row r="20">
      <c r="A20" s="7" t="inlineStr">
        <is>
          <t>لو قضيت ٥ يوميًا تنتهي</t>
        </is>
      </c>
      <c r="B20" s="6">
        <f>TODAY()+ROUNDUP(D10/5,0)</f>
        <v/>
      </c>
    </row>
    <row r="21">
      <c r="A21" s="7" t="inlineStr">
        <is>
          <t>لو قضيت ١٠ يوميًا تنتهي</t>
        </is>
      </c>
      <c r="B21" s="6">
        <f>TODAY()+ROUNDUP(D10/10,0)</f>
        <v/>
      </c>
    </row>
    <row r="22">
      <c r="A22" s="7" t="inlineStr">
        <is>
          <t>الأقرب للانتهاء</t>
        </is>
      </c>
      <c r="B22" s="4">
        <f>INDEX(A5:A9,MATCH(MIN(D5:D9),D5:D9,0))</f>
        <v/>
      </c>
    </row>
    <row r="23">
      <c r="A23" s="7" t="inlineStr">
        <is>
          <t>الأكثر متبقي</t>
        </is>
      </c>
      <c r="B23" s="4">
        <f>INDEX(A5:A9,MATCH(MAX(D5:D9),D5:D9,0))</f>
        <v/>
      </c>
    </row>
    <row r="24">
      <c r="A24" t="inlineStr">
        <is>
          <t>طريقة الاستخدام: سطر واحد في ورقة «سجل» (التاريخ، الصلاة، العدد). كل شي ثاني يتحدث تلقائي.</t>
        </is>
      </c>
    </row>
    <row r="26">
      <c r="A26" t="inlineStr">
        <is>
          <t>تحديث 2026-10-21 10:26 بقول محمد عبر سالم: أُضيفت 4 أيام فائتة كاملة (2026-10-17 → 2026-10-20) = +4 لكل صلاة (+20). فجر 2026-10-21 صُلي فرضًا في وقته — لا يُنقص القضاء (D-R-018). الظهر/العصر/المغرب/العشاء 10-21: لم يحن وقتها. | تحديث 2026-10-21 18:54: ظهر وعصر 10-21 فاتا (+1 لكل منهما) بقول محمد؛ المغرب بدأ 18:53 ولم يُضف (وقته مفتوح). | تحديث 2026-10-22 22:07 بقول محمد: أُضيف مغرب وعشاء 10-21 (+1 لكل منهما) وفرائض 10-22 الخمس (+1 لكل صلاة) لأنه لم يصلِّ فرضًا ولا قضاءً منذ آخر تعديل حتى عشاء 10-22 بتوقيت ماليزيا. المجموع صار 1913.</t>
        </is>
      </c>
    </row>
  </sheetData>
  <mergeCells count="1">
    <mergeCell ref="A1:F1"/>
  </mergeCells>
  <conditionalFormatting sqref="E5:E10">
    <cfRule type="dataBar" priority="1">
      <dataBar>
        <cfvo type="num" val="0"/>
        <cfvo type="num" val="1"/>
        <color rgb="0063BE7B"/>
      </dataBar>
    </cfRule>
  </conditionalFormatting>
  <conditionalFormatting sqref="D5:D9">
    <cfRule type="cellIs" priority="2" operator="equal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30" customWidth="1" min="4" max="4"/>
  </cols>
  <sheetData>
    <row r="1">
      <c r="A1" s="10" t="inlineStr">
        <is>
          <t>التاريخ</t>
        </is>
      </c>
      <c r="B1" s="10" t="inlineStr">
        <is>
          <t>الصلاة</t>
        </is>
      </c>
      <c r="C1" s="10" t="inlineStr">
        <is>
          <t>العدد</t>
        </is>
      </c>
      <c r="D1" s="10" t="inlineStr">
        <is>
          <t>ملاحظة</t>
        </is>
      </c>
    </row>
  </sheetData>
  <dataValidations count="2">
    <dataValidation sqref="B2:B5000" showDropDown="0" showInputMessage="0" showErrorMessage="0" allowBlank="1" type="list">
      <formula1>"الفجر,الظهر,العصر,المغرب,العشاء"</formula1>
    </dataValidation>
    <dataValidation sqref="C2:C5000" showDropDown="0" showInputMessage="0" showErrorMessage="0" allowBlank="1" type="whole" operator="between">
      <formula1>1</formula1>
      <formula2>1000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1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قضاء اليوم</t>
        </is>
      </c>
      <c r="C1" t="inlineStr">
        <is>
          <t>المتبقي (تراكمي)</t>
        </is>
      </c>
      <c r="D1" t="inlineStr">
        <is>
          <t>المتوسط المتحرك ٧ أيام</t>
        </is>
      </c>
      <c r="F1" t="inlineStr">
        <is>
          <t>الأسبوع</t>
        </is>
      </c>
      <c r="G1" t="inlineStr">
        <is>
          <t>قضاء الأسبوع</t>
        </is>
      </c>
      <c r="I1" t="inlineStr">
        <is>
          <t>الحالة</t>
        </is>
      </c>
      <c r="J1" t="inlineStr">
        <is>
          <t>العدد</t>
        </is>
      </c>
      <c r="L1" t="inlineStr">
        <is>
          <t>الصلاة</t>
        </is>
      </c>
      <c r="M1" t="inlineStr">
        <is>
          <t>قضاء هذا الشهر</t>
        </is>
      </c>
    </row>
    <row r="2">
      <c r="A2" s="23" t="n">
        <v>46312</v>
      </c>
      <c r="B2">
        <f>SUMIFS(سجل!$C:$C,سجل!$A:$A,A2)</f>
        <v/>
      </c>
      <c r="C2">
        <f>IF(A2&gt;TODAY(),NA(),ملخص!$B$10-SUM($B$2:B2))</f>
        <v/>
      </c>
      <c r="D2">
        <f>AVERAGE(B2:B2)</f>
        <v/>
      </c>
      <c r="F2" s="23" t="n">
        <v>46312</v>
      </c>
      <c r="G2">
        <f>SUMIFS(سجل!$C:$C,سجل!$A:$A,"&gt;="&amp;F2,سجل!$A:$A,"&lt;"&amp;(F2+7))</f>
        <v/>
      </c>
      <c r="I2" t="inlineStr">
        <is>
          <t>تم قضاؤه</t>
        </is>
      </c>
      <c r="J2">
        <f>ملخص!C10</f>
        <v/>
      </c>
      <c r="L2" t="inlineStr">
        <is>
          <t>الفجر</t>
        </is>
      </c>
      <c r="M2">
        <f>SUMIFS(سجل!$C:$C,سجل!$B:$B,L2,سجل!$A:$A,"&gt;="&amp;DATE(YEAR(TODAY()),MONTH(TODAY()),1))</f>
        <v/>
      </c>
    </row>
    <row r="3">
      <c r="A3" s="23" t="n">
        <v>46313</v>
      </c>
      <c r="B3">
        <f>SUMIFS(سجل!$C:$C,سجل!$A:$A,A3)</f>
        <v/>
      </c>
      <c r="C3">
        <f>IF(A3&gt;TODAY(),NA(),ملخص!$B$10-SUM($B$2:B3))</f>
        <v/>
      </c>
      <c r="D3">
        <f>AVERAGE(B2:B3)</f>
        <v/>
      </c>
      <c r="F3" s="23" t="n">
        <v>46319</v>
      </c>
      <c r="G3">
        <f>SUMIFS(سجل!$C:$C,سجل!$A:$A,"&gt;="&amp;F3,سجل!$A:$A,"&lt;"&amp;(F3+7))</f>
        <v/>
      </c>
      <c r="I3" t="inlineStr">
        <is>
          <t>المتبقي</t>
        </is>
      </c>
      <c r="J3">
        <f>ملخص!D10</f>
        <v/>
      </c>
      <c r="L3" t="inlineStr">
        <is>
          <t>الظهر</t>
        </is>
      </c>
      <c r="M3">
        <f>SUMIFS(سجل!$C:$C,سجل!$B:$B,L3,سجل!$A:$A,"&gt;="&amp;DATE(YEAR(TODAY()),MONTH(TODAY()),1))</f>
        <v/>
      </c>
    </row>
    <row r="4">
      <c r="A4" s="23" t="n">
        <v>46314</v>
      </c>
      <c r="B4">
        <f>SUMIFS(سجل!$C:$C,سجل!$A:$A,A4)</f>
        <v/>
      </c>
      <c r="C4">
        <f>IF(A4&gt;TODAY(),NA(),ملخص!$B$10-SUM($B$2:B4))</f>
        <v/>
      </c>
      <c r="D4">
        <f>AVERAGE(B2:B4)</f>
        <v/>
      </c>
      <c r="F4" s="23" t="n">
        <v>46326</v>
      </c>
      <c r="G4">
        <f>SUMIFS(سجل!$C:$C,سجل!$A:$A,"&gt;="&amp;F4,سجل!$A:$A,"&lt;"&amp;(F4+7))</f>
        <v/>
      </c>
      <c r="L4" t="inlineStr">
        <is>
          <t>العصر</t>
        </is>
      </c>
      <c r="M4">
        <f>SUMIFS(سجل!$C:$C,سجل!$B:$B,L4,سجل!$A:$A,"&gt;="&amp;DATE(YEAR(TODAY()),MONTH(TODAY()),1))</f>
        <v/>
      </c>
    </row>
    <row r="5">
      <c r="A5" s="23" t="n">
        <v>46315</v>
      </c>
      <c r="B5">
        <f>SUMIFS(سجل!$C:$C,سجل!$A:$A,A5)</f>
        <v/>
      </c>
      <c r="C5">
        <f>IF(A5&gt;TODAY(),NA(),ملخص!$B$10-SUM($B$2:B5))</f>
        <v/>
      </c>
      <c r="D5">
        <f>AVERAGE(B2:B5)</f>
        <v/>
      </c>
      <c r="F5" s="23" t="n">
        <v>46333</v>
      </c>
      <c r="G5">
        <f>SUMIFS(سجل!$C:$C,سجل!$A:$A,"&gt;="&amp;F5,سجل!$A:$A,"&lt;"&amp;(F5+7))</f>
        <v/>
      </c>
      <c r="L5" t="inlineStr">
        <is>
          <t>المغرب</t>
        </is>
      </c>
      <c r="M5">
        <f>SUMIFS(سجل!$C:$C,سجل!$B:$B,L5,سجل!$A:$A,"&gt;="&amp;DATE(YEAR(TODAY()),MONTH(TODAY()),1))</f>
        <v/>
      </c>
    </row>
    <row r="6">
      <c r="A6" s="23" t="n">
        <v>46316</v>
      </c>
      <c r="B6">
        <f>SUMIFS(سجل!$C:$C,سجل!$A:$A,A6)</f>
        <v/>
      </c>
      <c r="C6">
        <f>IF(A6&gt;TODAY(),NA(),ملخص!$B$10-SUM($B$2:B6))</f>
        <v/>
      </c>
      <c r="D6">
        <f>AVERAGE(B2:B6)</f>
        <v/>
      </c>
      <c r="F6" s="23" t="n">
        <v>46340</v>
      </c>
      <c r="G6">
        <f>SUMIFS(سجل!$C:$C,سجل!$A:$A,"&gt;="&amp;F6,سجل!$A:$A,"&lt;"&amp;(F6+7))</f>
        <v/>
      </c>
      <c r="L6" t="inlineStr">
        <is>
          <t>العشاء</t>
        </is>
      </c>
      <c r="M6">
        <f>SUMIFS(سجل!$C:$C,سجل!$B:$B,L6,سجل!$A:$A,"&gt;="&amp;DATE(YEAR(TODAY()),MONTH(TODAY()),1))</f>
        <v/>
      </c>
    </row>
    <row r="7">
      <c r="A7" s="23" t="n">
        <v>46317</v>
      </c>
      <c r="B7">
        <f>SUMIFS(سجل!$C:$C,سجل!$A:$A,A7)</f>
        <v/>
      </c>
      <c r="C7">
        <f>IF(A7&gt;TODAY(),NA(),ملخص!$B$10-SUM($B$2:B7))</f>
        <v/>
      </c>
      <c r="D7">
        <f>AVERAGE(B2:B7)</f>
        <v/>
      </c>
      <c r="F7" s="23" t="n">
        <v>46347</v>
      </c>
      <c r="G7">
        <f>SUMIFS(سجل!$C:$C,سجل!$A:$A,"&gt;="&amp;F7,سجل!$A:$A,"&lt;"&amp;(F7+7))</f>
        <v/>
      </c>
    </row>
    <row r="8">
      <c r="A8" s="23" t="n">
        <v>46318</v>
      </c>
      <c r="B8">
        <f>SUMIFS(سجل!$C:$C,سجل!$A:$A,A8)</f>
        <v/>
      </c>
      <c r="C8">
        <f>IF(A8&gt;TODAY(),NA(),ملخص!$B$10-SUM($B$2:B8))</f>
        <v/>
      </c>
      <c r="D8">
        <f>AVERAGE(B2:B8)</f>
        <v/>
      </c>
      <c r="F8" s="23" t="n">
        <v>46354</v>
      </c>
      <c r="G8">
        <f>SUMIFS(سجل!$C:$C,سجل!$A:$A,"&gt;="&amp;F8,سجل!$A:$A,"&lt;"&amp;(F8+7))</f>
        <v/>
      </c>
    </row>
    <row r="9">
      <c r="A9" s="23" t="n">
        <v>46319</v>
      </c>
      <c r="B9">
        <f>SUMIFS(سجل!$C:$C,سجل!$A:$A,A9)</f>
        <v/>
      </c>
      <c r="C9">
        <f>IF(A9&gt;TODAY(),NA(),ملخص!$B$10-SUM($B$2:B9))</f>
        <v/>
      </c>
      <c r="D9">
        <f>AVERAGE(B3:B9)</f>
        <v/>
      </c>
      <c r="F9" s="23" t="n">
        <v>46361</v>
      </c>
      <c r="G9">
        <f>SUMIFS(سجل!$C:$C,سجل!$A:$A,"&gt;="&amp;F9,سجل!$A:$A,"&lt;"&amp;(F9+7))</f>
        <v/>
      </c>
    </row>
    <row r="10">
      <c r="A10" s="23" t="n">
        <v>46320</v>
      </c>
      <c r="B10">
        <f>SUMIFS(سجل!$C:$C,سجل!$A:$A,A10)</f>
        <v/>
      </c>
      <c r="C10">
        <f>IF(A10&gt;TODAY(),NA(),ملخص!$B$10-SUM($B$2:B10))</f>
        <v/>
      </c>
      <c r="D10">
        <f>AVERAGE(B4:B10)</f>
        <v/>
      </c>
      <c r="F10" s="23" t="n">
        <v>46368</v>
      </c>
      <c r="G10">
        <f>SUMIFS(سجل!$C:$C,سجل!$A:$A,"&gt;="&amp;F10,سجل!$A:$A,"&lt;"&amp;(F10+7))</f>
        <v/>
      </c>
    </row>
    <row r="11">
      <c r="A11" s="23" t="n">
        <v>46321</v>
      </c>
      <c r="B11">
        <f>SUMIFS(سجل!$C:$C,سجل!$A:$A,A11)</f>
        <v/>
      </c>
      <c r="C11">
        <f>IF(A11&gt;TODAY(),NA(),ملخص!$B$10-SUM($B$2:B11))</f>
        <v/>
      </c>
      <c r="D11">
        <f>AVERAGE(B5:B11)</f>
        <v/>
      </c>
      <c r="F11" s="23" t="n">
        <v>46375</v>
      </c>
      <c r="G11">
        <f>SUMIFS(سجل!$C:$C,سجل!$A:$A,"&gt;="&amp;F11,سجل!$A:$A,"&lt;"&amp;(F11+7))</f>
        <v/>
      </c>
    </row>
    <row r="12">
      <c r="A12" s="23" t="n">
        <v>46322</v>
      </c>
      <c r="B12">
        <f>SUMIFS(سجل!$C:$C,سجل!$A:$A,A12)</f>
        <v/>
      </c>
      <c r="C12">
        <f>IF(A12&gt;TODAY(),NA(),ملخص!$B$10-SUM($B$2:B12))</f>
        <v/>
      </c>
      <c r="D12">
        <f>AVERAGE(B6:B12)</f>
        <v/>
      </c>
      <c r="F12" s="23" t="n">
        <v>46382</v>
      </c>
      <c r="G12">
        <f>SUMIFS(سجل!$C:$C,سجل!$A:$A,"&gt;="&amp;F12,سجل!$A:$A,"&lt;"&amp;(F12+7))</f>
        <v/>
      </c>
    </row>
    <row r="13">
      <c r="A13" s="23" t="n">
        <v>46323</v>
      </c>
      <c r="B13">
        <f>SUMIFS(سجل!$C:$C,سجل!$A:$A,A13)</f>
        <v/>
      </c>
      <c r="C13">
        <f>IF(A13&gt;TODAY(),NA(),ملخص!$B$10-SUM($B$2:B13))</f>
        <v/>
      </c>
      <c r="D13">
        <f>AVERAGE(B7:B13)</f>
        <v/>
      </c>
      <c r="F13" s="23" t="n">
        <v>46389</v>
      </c>
      <c r="G13">
        <f>SUMIFS(سجل!$C:$C,سجل!$A:$A,"&gt;="&amp;F13,سجل!$A:$A,"&lt;"&amp;(F13+7))</f>
        <v/>
      </c>
    </row>
    <row r="14">
      <c r="A14" s="23" t="n">
        <v>46324</v>
      </c>
      <c r="B14">
        <f>SUMIFS(سجل!$C:$C,سجل!$A:$A,A14)</f>
        <v/>
      </c>
      <c r="C14">
        <f>IF(A14&gt;TODAY(),NA(),ملخص!$B$10-SUM($B$2:B14))</f>
        <v/>
      </c>
      <c r="D14">
        <f>AVERAGE(B8:B14)</f>
        <v/>
      </c>
      <c r="F14" s="23" t="n">
        <v>46396</v>
      </c>
      <c r="G14">
        <f>SUMIFS(سجل!$C:$C,سجل!$A:$A,"&gt;="&amp;F14,سجل!$A:$A,"&lt;"&amp;(F14+7))</f>
        <v/>
      </c>
    </row>
    <row r="15">
      <c r="A15" s="23" t="n">
        <v>46325</v>
      </c>
      <c r="B15">
        <f>SUMIFS(سجل!$C:$C,سجل!$A:$A,A15)</f>
        <v/>
      </c>
      <c r="C15">
        <f>IF(A15&gt;TODAY(),NA(),ملخص!$B$10-SUM($B$2:B15))</f>
        <v/>
      </c>
      <c r="D15">
        <f>AVERAGE(B9:B15)</f>
        <v/>
      </c>
      <c r="F15" s="23" t="n">
        <v>46403</v>
      </c>
      <c r="G15">
        <f>SUMIFS(سجل!$C:$C,سجل!$A:$A,"&gt;="&amp;F15,سجل!$A:$A,"&lt;"&amp;(F15+7))</f>
        <v/>
      </c>
    </row>
    <row r="16">
      <c r="A16" s="23" t="n">
        <v>46326</v>
      </c>
      <c r="B16">
        <f>SUMIFS(سجل!$C:$C,سجل!$A:$A,A16)</f>
        <v/>
      </c>
      <c r="C16">
        <f>IF(A16&gt;TODAY(),NA(),ملخص!$B$10-SUM($B$2:B16))</f>
        <v/>
      </c>
      <c r="D16">
        <f>AVERAGE(B10:B16)</f>
        <v/>
      </c>
      <c r="F16" s="23" t="n">
        <v>46410</v>
      </c>
      <c r="G16">
        <f>SUMIFS(سجل!$C:$C,سجل!$A:$A,"&gt;="&amp;F16,سجل!$A:$A,"&lt;"&amp;(F16+7))</f>
        <v/>
      </c>
    </row>
    <row r="17">
      <c r="A17" s="23" t="n">
        <v>46327</v>
      </c>
      <c r="B17">
        <f>SUMIFS(سجل!$C:$C,سجل!$A:$A,A17)</f>
        <v/>
      </c>
      <c r="C17">
        <f>IF(A17&gt;TODAY(),NA(),ملخص!$B$10-SUM($B$2:B17))</f>
        <v/>
      </c>
      <c r="D17">
        <f>AVERAGE(B11:B17)</f>
        <v/>
      </c>
      <c r="F17" s="23" t="n">
        <v>46417</v>
      </c>
      <c r="G17">
        <f>SUMIFS(سجل!$C:$C,سجل!$A:$A,"&gt;="&amp;F17,سجل!$A:$A,"&lt;"&amp;(F17+7))</f>
        <v/>
      </c>
    </row>
    <row r="18">
      <c r="A18" s="23" t="n">
        <v>46328</v>
      </c>
      <c r="B18">
        <f>SUMIFS(سجل!$C:$C,سجل!$A:$A,A18)</f>
        <v/>
      </c>
      <c r="C18">
        <f>IF(A18&gt;TODAY(),NA(),ملخص!$B$10-SUM($B$2:B18))</f>
        <v/>
      </c>
      <c r="D18">
        <f>AVERAGE(B12:B18)</f>
        <v/>
      </c>
      <c r="F18" s="23" t="n">
        <v>46424</v>
      </c>
      <c r="G18">
        <f>SUMIFS(سجل!$C:$C,سجل!$A:$A,"&gt;="&amp;F18,سجل!$A:$A,"&lt;"&amp;(F18+7))</f>
        <v/>
      </c>
    </row>
    <row r="19">
      <c r="A19" s="23" t="n">
        <v>46329</v>
      </c>
      <c r="B19">
        <f>SUMIFS(سجل!$C:$C,سجل!$A:$A,A19)</f>
        <v/>
      </c>
      <c r="C19">
        <f>IF(A19&gt;TODAY(),NA(),ملخص!$B$10-SUM($B$2:B19))</f>
        <v/>
      </c>
      <c r="D19">
        <f>AVERAGE(B13:B19)</f>
        <v/>
      </c>
      <c r="F19" s="23" t="n">
        <v>46431</v>
      </c>
      <c r="G19">
        <f>SUMIFS(سجل!$C:$C,سجل!$A:$A,"&gt;="&amp;F19,سجل!$A:$A,"&lt;"&amp;(F19+7))</f>
        <v/>
      </c>
    </row>
    <row r="20">
      <c r="A20" s="23" t="n">
        <v>46330</v>
      </c>
      <c r="B20">
        <f>SUMIFS(سجل!$C:$C,سجل!$A:$A,A20)</f>
        <v/>
      </c>
      <c r="C20">
        <f>IF(A20&gt;TODAY(),NA(),ملخص!$B$10-SUM($B$2:B20))</f>
        <v/>
      </c>
      <c r="D20">
        <f>AVERAGE(B14:B20)</f>
        <v/>
      </c>
      <c r="F20" s="23" t="n">
        <v>46438</v>
      </c>
      <c r="G20">
        <f>SUMIFS(سجل!$C:$C,سجل!$A:$A,"&gt;="&amp;F20,سجل!$A:$A,"&lt;"&amp;(F20+7))</f>
        <v/>
      </c>
    </row>
    <row r="21">
      <c r="A21" s="23" t="n">
        <v>46331</v>
      </c>
      <c r="B21">
        <f>SUMIFS(سجل!$C:$C,سجل!$A:$A,A21)</f>
        <v/>
      </c>
      <c r="C21">
        <f>IF(A21&gt;TODAY(),NA(),ملخص!$B$10-SUM($B$2:B21))</f>
        <v/>
      </c>
      <c r="D21">
        <f>AVERAGE(B15:B21)</f>
        <v/>
      </c>
      <c r="F21" s="23" t="n">
        <v>46445</v>
      </c>
      <c r="G21">
        <f>SUMIFS(سجل!$C:$C,سجل!$A:$A,"&gt;="&amp;F21,سجل!$A:$A,"&lt;"&amp;(F21+7))</f>
        <v/>
      </c>
    </row>
    <row r="22">
      <c r="A22" s="23" t="n">
        <v>46332</v>
      </c>
      <c r="B22">
        <f>SUMIFS(سجل!$C:$C,سجل!$A:$A,A22)</f>
        <v/>
      </c>
      <c r="C22">
        <f>IF(A22&gt;TODAY(),NA(),ملخص!$B$10-SUM($B$2:B22))</f>
        <v/>
      </c>
      <c r="D22">
        <f>AVERAGE(B16:B22)</f>
        <v/>
      </c>
      <c r="F22" s="23" t="n">
        <v>46452</v>
      </c>
      <c r="G22">
        <f>SUMIFS(سجل!$C:$C,سجل!$A:$A,"&gt;="&amp;F22,سجل!$A:$A,"&lt;"&amp;(F22+7))</f>
        <v/>
      </c>
    </row>
    <row r="23">
      <c r="A23" s="23" t="n">
        <v>46333</v>
      </c>
      <c r="B23">
        <f>SUMIFS(سجل!$C:$C,سجل!$A:$A,A23)</f>
        <v/>
      </c>
      <c r="C23">
        <f>IF(A23&gt;TODAY(),NA(),ملخص!$B$10-SUM($B$2:B23))</f>
        <v/>
      </c>
      <c r="D23">
        <f>AVERAGE(B17:B23)</f>
        <v/>
      </c>
      <c r="F23" s="23" t="n">
        <v>46459</v>
      </c>
      <c r="G23">
        <f>SUMIFS(سجل!$C:$C,سجل!$A:$A,"&gt;="&amp;F23,سجل!$A:$A,"&lt;"&amp;(F23+7))</f>
        <v/>
      </c>
    </row>
    <row r="24">
      <c r="A24" s="23" t="n">
        <v>46334</v>
      </c>
      <c r="B24">
        <f>SUMIFS(سجل!$C:$C,سجل!$A:$A,A24)</f>
        <v/>
      </c>
      <c r="C24">
        <f>IF(A24&gt;TODAY(),NA(),ملخص!$B$10-SUM($B$2:B24))</f>
        <v/>
      </c>
      <c r="D24">
        <f>AVERAGE(B18:B24)</f>
        <v/>
      </c>
      <c r="F24" s="23" t="n">
        <v>46466</v>
      </c>
      <c r="G24">
        <f>SUMIFS(سجل!$C:$C,سجل!$A:$A,"&gt;="&amp;F24,سجل!$A:$A,"&lt;"&amp;(F24+7))</f>
        <v/>
      </c>
    </row>
    <row r="25">
      <c r="A25" s="23" t="n">
        <v>46335</v>
      </c>
      <c r="B25">
        <f>SUMIFS(سجل!$C:$C,سجل!$A:$A,A25)</f>
        <v/>
      </c>
      <c r="C25">
        <f>IF(A25&gt;TODAY(),NA(),ملخص!$B$10-SUM($B$2:B25))</f>
        <v/>
      </c>
      <c r="D25">
        <f>AVERAGE(B19:B25)</f>
        <v/>
      </c>
      <c r="F25" s="23" t="n">
        <v>46473</v>
      </c>
      <c r="G25">
        <f>SUMIFS(سجل!$C:$C,سجل!$A:$A,"&gt;="&amp;F25,سجل!$A:$A,"&lt;"&amp;(F25+7))</f>
        <v/>
      </c>
    </row>
    <row r="26">
      <c r="A26" s="23" t="n">
        <v>46336</v>
      </c>
      <c r="B26">
        <f>SUMIFS(سجل!$C:$C,سجل!$A:$A,A26)</f>
        <v/>
      </c>
      <c r="C26">
        <f>IF(A26&gt;TODAY(),NA(),ملخص!$B$10-SUM($B$2:B26))</f>
        <v/>
      </c>
      <c r="D26">
        <f>AVERAGE(B20:B26)</f>
        <v/>
      </c>
      <c r="F26" s="23" t="n">
        <v>46480</v>
      </c>
      <c r="G26">
        <f>SUMIFS(سجل!$C:$C,سجل!$A:$A,"&gt;="&amp;F26,سجل!$A:$A,"&lt;"&amp;(F26+7))</f>
        <v/>
      </c>
    </row>
    <row r="27">
      <c r="A27" s="23" t="n">
        <v>46337</v>
      </c>
      <c r="B27">
        <f>SUMIFS(سجل!$C:$C,سجل!$A:$A,A27)</f>
        <v/>
      </c>
      <c r="C27">
        <f>IF(A27&gt;TODAY(),NA(),ملخص!$B$10-SUM($B$2:B27))</f>
        <v/>
      </c>
      <c r="D27">
        <f>AVERAGE(B21:B27)</f>
        <v/>
      </c>
      <c r="F27" s="23" t="n">
        <v>46487</v>
      </c>
      <c r="G27">
        <f>SUMIFS(سجل!$C:$C,سجل!$A:$A,"&gt;="&amp;F27,سجل!$A:$A,"&lt;"&amp;(F27+7))</f>
        <v/>
      </c>
    </row>
    <row r="28">
      <c r="A28" s="23" t="n">
        <v>46338</v>
      </c>
      <c r="B28">
        <f>SUMIFS(سجل!$C:$C,سجل!$A:$A,A28)</f>
        <v/>
      </c>
      <c r="C28">
        <f>IF(A28&gt;TODAY(),NA(),ملخص!$B$10-SUM($B$2:B28))</f>
        <v/>
      </c>
      <c r="D28">
        <f>AVERAGE(B22:B28)</f>
        <v/>
      </c>
    </row>
    <row r="29">
      <c r="A29" s="23" t="n">
        <v>46339</v>
      </c>
      <c r="B29">
        <f>SUMIFS(سجل!$C:$C,سجل!$A:$A,A29)</f>
        <v/>
      </c>
      <c r="C29">
        <f>IF(A29&gt;TODAY(),NA(),ملخص!$B$10-SUM($B$2:B29))</f>
        <v/>
      </c>
      <c r="D29">
        <f>AVERAGE(B23:B29)</f>
        <v/>
      </c>
    </row>
    <row r="30">
      <c r="A30" s="23" t="n">
        <v>46340</v>
      </c>
      <c r="B30">
        <f>SUMIFS(سجل!$C:$C,سجل!$A:$A,A30)</f>
        <v/>
      </c>
      <c r="C30">
        <f>IF(A30&gt;TODAY(),NA(),ملخص!$B$10-SUM($B$2:B30))</f>
        <v/>
      </c>
      <c r="D30">
        <f>AVERAGE(B24:B30)</f>
        <v/>
      </c>
    </row>
    <row r="31">
      <c r="A31" s="23" t="n">
        <v>46341</v>
      </c>
      <c r="B31">
        <f>SUMIFS(سجل!$C:$C,سجل!$A:$A,A31)</f>
        <v/>
      </c>
      <c r="C31">
        <f>IF(A31&gt;TODAY(),NA(),ملخص!$B$10-SUM($B$2:B31))</f>
        <v/>
      </c>
      <c r="D31">
        <f>AVERAGE(B25:B31)</f>
        <v/>
      </c>
    </row>
    <row r="32">
      <c r="A32" s="23" t="n">
        <v>46342</v>
      </c>
      <c r="B32">
        <f>SUMIFS(سجل!$C:$C,سجل!$A:$A,A32)</f>
        <v/>
      </c>
      <c r="C32">
        <f>IF(A32&gt;TODAY(),NA(),ملخص!$B$10-SUM($B$2:B32))</f>
        <v/>
      </c>
      <c r="D32">
        <f>AVERAGE(B26:B32)</f>
        <v/>
      </c>
    </row>
    <row r="33">
      <c r="A33" s="23" t="n">
        <v>46343</v>
      </c>
      <c r="B33">
        <f>SUMIFS(سجل!$C:$C,سجل!$A:$A,A33)</f>
        <v/>
      </c>
      <c r="C33">
        <f>IF(A33&gt;TODAY(),NA(),ملخص!$B$10-SUM($B$2:B33))</f>
        <v/>
      </c>
      <c r="D33">
        <f>AVERAGE(B27:B33)</f>
        <v/>
      </c>
    </row>
    <row r="34">
      <c r="A34" s="23" t="n">
        <v>46344</v>
      </c>
      <c r="B34">
        <f>SUMIFS(سجل!$C:$C,سجل!$A:$A,A34)</f>
        <v/>
      </c>
      <c r="C34">
        <f>IF(A34&gt;TODAY(),NA(),ملخص!$B$10-SUM($B$2:B34))</f>
        <v/>
      </c>
      <c r="D34">
        <f>AVERAGE(B28:B34)</f>
        <v/>
      </c>
    </row>
    <row r="35">
      <c r="A35" s="23" t="n">
        <v>46345</v>
      </c>
      <c r="B35">
        <f>SUMIFS(سجل!$C:$C,سجل!$A:$A,A35)</f>
        <v/>
      </c>
      <c r="C35">
        <f>IF(A35&gt;TODAY(),NA(),ملخص!$B$10-SUM($B$2:B35))</f>
        <v/>
      </c>
      <c r="D35">
        <f>AVERAGE(B29:B35)</f>
        <v/>
      </c>
    </row>
    <row r="36">
      <c r="A36" s="23" t="n">
        <v>46346</v>
      </c>
      <c r="B36">
        <f>SUMIFS(سجل!$C:$C,سجل!$A:$A,A36)</f>
        <v/>
      </c>
      <c r="C36">
        <f>IF(A36&gt;TODAY(),NA(),ملخص!$B$10-SUM($B$2:B36))</f>
        <v/>
      </c>
      <c r="D36">
        <f>AVERAGE(B30:B36)</f>
        <v/>
      </c>
    </row>
    <row r="37">
      <c r="A37" s="23" t="n">
        <v>46347</v>
      </c>
      <c r="B37">
        <f>SUMIFS(سجل!$C:$C,سجل!$A:$A,A37)</f>
        <v/>
      </c>
      <c r="C37">
        <f>IF(A37&gt;TODAY(),NA(),ملخص!$B$10-SUM($B$2:B37))</f>
        <v/>
      </c>
      <c r="D37">
        <f>AVERAGE(B31:B37)</f>
        <v/>
      </c>
    </row>
    <row r="38">
      <c r="A38" s="23" t="n">
        <v>46348</v>
      </c>
      <c r="B38">
        <f>SUMIFS(سجل!$C:$C,سجل!$A:$A,A38)</f>
        <v/>
      </c>
      <c r="C38">
        <f>IF(A38&gt;TODAY(),NA(),ملخص!$B$10-SUM($B$2:B38))</f>
        <v/>
      </c>
      <c r="D38">
        <f>AVERAGE(B32:B38)</f>
        <v/>
      </c>
    </row>
    <row r="39">
      <c r="A39" s="23" t="n">
        <v>46349</v>
      </c>
      <c r="B39">
        <f>SUMIFS(سجل!$C:$C,سجل!$A:$A,A39)</f>
        <v/>
      </c>
      <c r="C39">
        <f>IF(A39&gt;TODAY(),NA(),ملخص!$B$10-SUM($B$2:B39))</f>
        <v/>
      </c>
      <c r="D39">
        <f>AVERAGE(B33:B39)</f>
        <v/>
      </c>
    </row>
    <row r="40">
      <c r="A40" s="23" t="n">
        <v>46350</v>
      </c>
      <c r="B40">
        <f>SUMIFS(سجل!$C:$C,سجل!$A:$A,A40)</f>
        <v/>
      </c>
      <c r="C40">
        <f>IF(A40&gt;TODAY(),NA(),ملخص!$B$10-SUM($B$2:B40))</f>
        <v/>
      </c>
      <c r="D40">
        <f>AVERAGE(B34:B40)</f>
        <v/>
      </c>
    </row>
    <row r="41">
      <c r="A41" s="23" t="n">
        <v>46351</v>
      </c>
      <c r="B41">
        <f>SUMIFS(سجل!$C:$C,سجل!$A:$A,A41)</f>
        <v/>
      </c>
      <c r="C41">
        <f>IF(A41&gt;TODAY(),NA(),ملخص!$B$10-SUM($B$2:B41))</f>
        <v/>
      </c>
      <c r="D41">
        <f>AVERAGE(B35:B41)</f>
        <v/>
      </c>
    </row>
    <row r="42">
      <c r="A42" s="23" t="n">
        <v>46352</v>
      </c>
      <c r="B42">
        <f>SUMIFS(سجل!$C:$C,سجل!$A:$A,A42)</f>
        <v/>
      </c>
      <c r="C42">
        <f>IF(A42&gt;TODAY(),NA(),ملخص!$B$10-SUM($B$2:B42))</f>
        <v/>
      </c>
      <c r="D42">
        <f>AVERAGE(B36:B42)</f>
        <v/>
      </c>
    </row>
    <row r="43">
      <c r="A43" s="23" t="n">
        <v>46353</v>
      </c>
      <c r="B43">
        <f>SUMIFS(سجل!$C:$C,سجل!$A:$A,A43)</f>
        <v/>
      </c>
      <c r="C43">
        <f>IF(A43&gt;TODAY(),NA(),ملخص!$B$10-SUM($B$2:B43))</f>
        <v/>
      </c>
      <c r="D43">
        <f>AVERAGE(B37:B43)</f>
        <v/>
      </c>
    </row>
    <row r="44">
      <c r="A44" s="23" t="n">
        <v>46354</v>
      </c>
      <c r="B44">
        <f>SUMIFS(سجل!$C:$C,سجل!$A:$A,A44)</f>
        <v/>
      </c>
      <c r="C44">
        <f>IF(A44&gt;TODAY(),NA(),ملخص!$B$10-SUM($B$2:B44))</f>
        <v/>
      </c>
      <c r="D44">
        <f>AVERAGE(B38:B44)</f>
        <v/>
      </c>
    </row>
    <row r="45">
      <c r="A45" s="23" t="n">
        <v>46355</v>
      </c>
      <c r="B45">
        <f>SUMIFS(سجل!$C:$C,سجل!$A:$A,A45)</f>
        <v/>
      </c>
      <c r="C45">
        <f>IF(A45&gt;TODAY(),NA(),ملخص!$B$10-SUM($B$2:B45))</f>
        <v/>
      </c>
      <c r="D45">
        <f>AVERAGE(B39:B45)</f>
        <v/>
      </c>
    </row>
    <row r="46">
      <c r="A46" s="23" t="n">
        <v>46356</v>
      </c>
      <c r="B46">
        <f>SUMIFS(سجل!$C:$C,سجل!$A:$A,A46)</f>
        <v/>
      </c>
      <c r="C46">
        <f>IF(A46&gt;TODAY(),NA(),ملخص!$B$10-SUM($B$2:B46))</f>
        <v/>
      </c>
      <c r="D46">
        <f>AVERAGE(B40:B46)</f>
        <v/>
      </c>
    </row>
    <row r="47">
      <c r="A47" s="23" t="n">
        <v>46357</v>
      </c>
      <c r="B47">
        <f>SUMIFS(سجل!$C:$C,سجل!$A:$A,A47)</f>
        <v/>
      </c>
      <c r="C47">
        <f>IF(A47&gt;TODAY(),NA(),ملخص!$B$10-SUM($B$2:B47))</f>
        <v/>
      </c>
      <c r="D47">
        <f>AVERAGE(B41:B47)</f>
        <v/>
      </c>
    </row>
    <row r="48">
      <c r="A48" s="23" t="n">
        <v>46358</v>
      </c>
      <c r="B48">
        <f>SUMIFS(سجل!$C:$C,سجل!$A:$A,A48)</f>
        <v/>
      </c>
      <c r="C48">
        <f>IF(A48&gt;TODAY(),NA(),ملخص!$B$10-SUM($B$2:B48))</f>
        <v/>
      </c>
      <c r="D48">
        <f>AVERAGE(B42:B48)</f>
        <v/>
      </c>
    </row>
    <row r="49">
      <c r="A49" s="23" t="n">
        <v>46359</v>
      </c>
      <c r="B49">
        <f>SUMIFS(سجل!$C:$C,سجل!$A:$A,A49)</f>
        <v/>
      </c>
      <c r="C49">
        <f>IF(A49&gt;TODAY(),NA(),ملخص!$B$10-SUM($B$2:B49))</f>
        <v/>
      </c>
      <c r="D49">
        <f>AVERAGE(B43:B49)</f>
        <v/>
      </c>
    </row>
    <row r="50">
      <c r="A50" s="23" t="n">
        <v>46360</v>
      </c>
      <c r="B50">
        <f>SUMIFS(سجل!$C:$C,سجل!$A:$A,A50)</f>
        <v/>
      </c>
      <c r="C50">
        <f>IF(A50&gt;TODAY(),NA(),ملخص!$B$10-SUM($B$2:B50))</f>
        <v/>
      </c>
      <c r="D50">
        <f>AVERAGE(B44:B50)</f>
        <v/>
      </c>
    </row>
    <row r="51">
      <c r="A51" s="23" t="n">
        <v>46361</v>
      </c>
      <c r="B51">
        <f>SUMIFS(سجل!$C:$C,سجل!$A:$A,A51)</f>
        <v/>
      </c>
      <c r="C51">
        <f>IF(A51&gt;TODAY(),NA(),ملخص!$B$10-SUM($B$2:B51))</f>
        <v/>
      </c>
      <c r="D51">
        <f>AVERAGE(B45:B51)</f>
        <v/>
      </c>
    </row>
    <row r="52">
      <c r="A52" s="23" t="n">
        <v>46362</v>
      </c>
      <c r="B52">
        <f>SUMIFS(سجل!$C:$C,سجل!$A:$A,A52)</f>
        <v/>
      </c>
      <c r="C52">
        <f>IF(A52&gt;TODAY(),NA(),ملخص!$B$10-SUM($B$2:B52))</f>
        <v/>
      </c>
      <c r="D52">
        <f>AVERAGE(B46:B52)</f>
        <v/>
      </c>
    </row>
    <row r="53">
      <c r="A53" s="23" t="n">
        <v>46363</v>
      </c>
      <c r="B53">
        <f>SUMIFS(سجل!$C:$C,سجل!$A:$A,A53)</f>
        <v/>
      </c>
      <c r="C53">
        <f>IF(A53&gt;TODAY(),NA(),ملخص!$B$10-SUM($B$2:B53))</f>
        <v/>
      </c>
      <c r="D53">
        <f>AVERAGE(B47:B53)</f>
        <v/>
      </c>
    </row>
    <row r="54">
      <c r="A54" s="23" t="n">
        <v>46364</v>
      </c>
      <c r="B54">
        <f>SUMIFS(سجل!$C:$C,سجل!$A:$A,A54)</f>
        <v/>
      </c>
      <c r="C54">
        <f>IF(A54&gt;TODAY(),NA(),ملخص!$B$10-SUM($B$2:B54))</f>
        <v/>
      </c>
      <c r="D54">
        <f>AVERAGE(B48:B54)</f>
        <v/>
      </c>
    </row>
    <row r="55">
      <c r="A55" s="23" t="n">
        <v>46365</v>
      </c>
      <c r="B55">
        <f>SUMIFS(سجل!$C:$C,سجل!$A:$A,A55)</f>
        <v/>
      </c>
      <c r="C55">
        <f>IF(A55&gt;TODAY(),NA(),ملخص!$B$10-SUM($B$2:B55))</f>
        <v/>
      </c>
      <c r="D55">
        <f>AVERAGE(B49:B55)</f>
        <v/>
      </c>
    </row>
    <row r="56">
      <c r="A56" s="23" t="n">
        <v>46366</v>
      </c>
      <c r="B56">
        <f>SUMIFS(سجل!$C:$C,سجل!$A:$A,A56)</f>
        <v/>
      </c>
      <c r="C56">
        <f>IF(A56&gt;TODAY(),NA(),ملخص!$B$10-SUM($B$2:B56))</f>
        <v/>
      </c>
      <c r="D56">
        <f>AVERAGE(B50:B56)</f>
        <v/>
      </c>
    </row>
    <row r="57">
      <c r="A57" s="23" t="n">
        <v>46367</v>
      </c>
      <c r="B57">
        <f>SUMIFS(سجل!$C:$C,سجل!$A:$A,A57)</f>
        <v/>
      </c>
      <c r="C57">
        <f>IF(A57&gt;TODAY(),NA(),ملخص!$B$10-SUM($B$2:B57))</f>
        <v/>
      </c>
      <c r="D57">
        <f>AVERAGE(B51:B57)</f>
        <v/>
      </c>
    </row>
    <row r="58">
      <c r="A58" s="23" t="n">
        <v>46368</v>
      </c>
      <c r="B58">
        <f>SUMIFS(سجل!$C:$C,سجل!$A:$A,A58)</f>
        <v/>
      </c>
      <c r="C58">
        <f>IF(A58&gt;TODAY(),NA(),ملخص!$B$10-SUM($B$2:B58))</f>
        <v/>
      </c>
      <c r="D58">
        <f>AVERAGE(B52:B58)</f>
        <v/>
      </c>
    </row>
    <row r="59">
      <c r="A59" s="23" t="n">
        <v>46369</v>
      </c>
      <c r="B59">
        <f>SUMIFS(سجل!$C:$C,سجل!$A:$A,A59)</f>
        <v/>
      </c>
      <c r="C59">
        <f>IF(A59&gt;TODAY(),NA(),ملخص!$B$10-SUM($B$2:B59))</f>
        <v/>
      </c>
      <c r="D59">
        <f>AVERAGE(B53:B59)</f>
        <v/>
      </c>
    </row>
    <row r="60">
      <c r="A60" s="23" t="n">
        <v>46370</v>
      </c>
      <c r="B60">
        <f>SUMIFS(سجل!$C:$C,سجل!$A:$A,A60)</f>
        <v/>
      </c>
      <c r="C60">
        <f>IF(A60&gt;TODAY(),NA(),ملخص!$B$10-SUM($B$2:B60))</f>
        <v/>
      </c>
      <c r="D60">
        <f>AVERAGE(B54:B60)</f>
        <v/>
      </c>
    </row>
    <row r="61">
      <c r="A61" s="23" t="n">
        <v>46371</v>
      </c>
      <c r="B61">
        <f>SUMIFS(سجل!$C:$C,سجل!$A:$A,A61)</f>
        <v/>
      </c>
      <c r="C61">
        <f>IF(A61&gt;TODAY(),NA(),ملخص!$B$10-SUM($B$2:B61))</f>
        <v/>
      </c>
      <c r="D61">
        <f>AVERAGE(B55:B61)</f>
        <v/>
      </c>
    </row>
    <row r="62">
      <c r="A62" s="23" t="n">
        <v>46372</v>
      </c>
      <c r="B62">
        <f>SUMIFS(سجل!$C:$C,سجل!$A:$A,A62)</f>
        <v/>
      </c>
      <c r="C62">
        <f>IF(A62&gt;TODAY(),NA(),ملخص!$B$10-SUM($B$2:B62))</f>
        <v/>
      </c>
      <c r="D62">
        <f>AVERAGE(B56:B62)</f>
        <v/>
      </c>
    </row>
    <row r="63">
      <c r="A63" s="23" t="n">
        <v>46373</v>
      </c>
      <c r="B63">
        <f>SUMIFS(سجل!$C:$C,سجل!$A:$A,A63)</f>
        <v/>
      </c>
      <c r="C63">
        <f>IF(A63&gt;TODAY(),NA(),ملخص!$B$10-SUM($B$2:B63))</f>
        <v/>
      </c>
      <c r="D63">
        <f>AVERAGE(B57:B63)</f>
        <v/>
      </c>
    </row>
    <row r="64">
      <c r="A64" s="23" t="n">
        <v>46374</v>
      </c>
      <c r="B64">
        <f>SUMIFS(سجل!$C:$C,سجل!$A:$A,A64)</f>
        <v/>
      </c>
      <c r="C64">
        <f>IF(A64&gt;TODAY(),NA(),ملخص!$B$10-SUM($B$2:B64))</f>
        <v/>
      </c>
      <c r="D64">
        <f>AVERAGE(B58:B64)</f>
        <v/>
      </c>
    </row>
    <row r="65">
      <c r="A65" s="23" t="n">
        <v>46375</v>
      </c>
      <c r="B65">
        <f>SUMIFS(سجل!$C:$C,سجل!$A:$A,A65)</f>
        <v/>
      </c>
      <c r="C65">
        <f>IF(A65&gt;TODAY(),NA(),ملخص!$B$10-SUM($B$2:B65))</f>
        <v/>
      </c>
      <c r="D65">
        <f>AVERAGE(B59:B65)</f>
        <v/>
      </c>
    </row>
    <row r="66">
      <c r="A66" s="23" t="n">
        <v>46376</v>
      </c>
      <c r="B66">
        <f>SUMIFS(سجل!$C:$C,سجل!$A:$A,A66)</f>
        <v/>
      </c>
      <c r="C66">
        <f>IF(A66&gt;TODAY(),NA(),ملخص!$B$10-SUM($B$2:B66))</f>
        <v/>
      </c>
      <c r="D66">
        <f>AVERAGE(B60:B66)</f>
        <v/>
      </c>
    </row>
    <row r="67">
      <c r="A67" s="23" t="n">
        <v>46377</v>
      </c>
      <c r="B67">
        <f>SUMIFS(سجل!$C:$C,سجل!$A:$A,A67)</f>
        <v/>
      </c>
      <c r="C67">
        <f>IF(A67&gt;TODAY(),NA(),ملخص!$B$10-SUM($B$2:B67))</f>
        <v/>
      </c>
      <c r="D67">
        <f>AVERAGE(B61:B67)</f>
        <v/>
      </c>
    </row>
    <row r="68">
      <c r="A68" s="23" t="n">
        <v>46378</v>
      </c>
      <c r="B68">
        <f>SUMIFS(سجل!$C:$C,سجل!$A:$A,A68)</f>
        <v/>
      </c>
      <c r="C68">
        <f>IF(A68&gt;TODAY(),NA(),ملخص!$B$10-SUM($B$2:B68))</f>
        <v/>
      </c>
      <c r="D68">
        <f>AVERAGE(B62:B68)</f>
        <v/>
      </c>
    </row>
    <row r="69">
      <c r="A69" s="23" t="n">
        <v>46379</v>
      </c>
      <c r="B69">
        <f>SUMIFS(سجل!$C:$C,سجل!$A:$A,A69)</f>
        <v/>
      </c>
      <c r="C69">
        <f>IF(A69&gt;TODAY(),NA(),ملخص!$B$10-SUM($B$2:B69))</f>
        <v/>
      </c>
      <c r="D69">
        <f>AVERAGE(B63:B69)</f>
        <v/>
      </c>
    </row>
    <row r="70">
      <c r="A70" s="23" t="n">
        <v>46380</v>
      </c>
      <c r="B70">
        <f>SUMIFS(سجل!$C:$C,سجل!$A:$A,A70)</f>
        <v/>
      </c>
      <c r="C70">
        <f>IF(A70&gt;TODAY(),NA(),ملخص!$B$10-SUM($B$2:B70))</f>
        <v/>
      </c>
      <c r="D70">
        <f>AVERAGE(B64:B70)</f>
        <v/>
      </c>
    </row>
    <row r="71">
      <c r="A71" s="23" t="n">
        <v>46381</v>
      </c>
      <c r="B71">
        <f>SUMIFS(سجل!$C:$C,سجل!$A:$A,A71)</f>
        <v/>
      </c>
      <c r="C71">
        <f>IF(A71&gt;TODAY(),NA(),ملخص!$B$10-SUM($B$2:B71))</f>
        <v/>
      </c>
      <c r="D71">
        <f>AVERAGE(B65:B71)</f>
        <v/>
      </c>
    </row>
    <row r="72">
      <c r="A72" s="23" t="n">
        <v>46382</v>
      </c>
      <c r="B72">
        <f>SUMIFS(سجل!$C:$C,سجل!$A:$A,A72)</f>
        <v/>
      </c>
      <c r="C72">
        <f>IF(A72&gt;TODAY(),NA(),ملخص!$B$10-SUM($B$2:B72))</f>
        <v/>
      </c>
      <c r="D72">
        <f>AVERAGE(B66:B72)</f>
        <v/>
      </c>
    </row>
    <row r="73">
      <c r="A73" s="23" t="n">
        <v>46383</v>
      </c>
      <c r="B73">
        <f>SUMIFS(سجل!$C:$C,سجل!$A:$A,A73)</f>
        <v/>
      </c>
      <c r="C73">
        <f>IF(A73&gt;TODAY(),NA(),ملخص!$B$10-SUM($B$2:B73))</f>
        <v/>
      </c>
      <c r="D73">
        <f>AVERAGE(B67:B73)</f>
        <v/>
      </c>
    </row>
    <row r="74">
      <c r="A74" s="23" t="n">
        <v>46384</v>
      </c>
      <c r="B74">
        <f>SUMIFS(سجل!$C:$C,سجل!$A:$A,A74)</f>
        <v/>
      </c>
      <c r="C74">
        <f>IF(A74&gt;TODAY(),NA(),ملخص!$B$10-SUM($B$2:B74))</f>
        <v/>
      </c>
      <c r="D74">
        <f>AVERAGE(B68:B74)</f>
        <v/>
      </c>
    </row>
    <row r="75">
      <c r="A75" s="23" t="n">
        <v>46385</v>
      </c>
      <c r="B75">
        <f>SUMIFS(سجل!$C:$C,سجل!$A:$A,A75)</f>
        <v/>
      </c>
      <c r="C75">
        <f>IF(A75&gt;TODAY(),NA(),ملخص!$B$10-SUM($B$2:B75))</f>
        <v/>
      </c>
      <c r="D75">
        <f>AVERAGE(B69:B75)</f>
        <v/>
      </c>
    </row>
    <row r="76">
      <c r="A76" s="23" t="n">
        <v>46386</v>
      </c>
      <c r="B76">
        <f>SUMIFS(سجل!$C:$C,سجل!$A:$A,A76)</f>
        <v/>
      </c>
      <c r="C76">
        <f>IF(A76&gt;TODAY(),NA(),ملخص!$B$10-SUM($B$2:B76))</f>
        <v/>
      </c>
      <c r="D76">
        <f>AVERAGE(B70:B76)</f>
        <v/>
      </c>
    </row>
    <row r="77">
      <c r="A77" s="23" t="n">
        <v>46387</v>
      </c>
      <c r="B77">
        <f>SUMIFS(سجل!$C:$C,سجل!$A:$A,A77)</f>
        <v/>
      </c>
      <c r="C77">
        <f>IF(A77&gt;TODAY(),NA(),ملخص!$B$10-SUM($B$2:B77))</f>
        <v/>
      </c>
      <c r="D77">
        <f>AVERAGE(B71:B77)</f>
        <v/>
      </c>
    </row>
    <row r="78">
      <c r="A78" s="23" t="n">
        <v>46388</v>
      </c>
      <c r="B78">
        <f>SUMIFS(سجل!$C:$C,سجل!$A:$A,A78)</f>
        <v/>
      </c>
      <c r="C78">
        <f>IF(A78&gt;TODAY(),NA(),ملخص!$B$10-SUM($B$2:B78))</f>
        <v/>
      </c>
      <c r="D78">
        <f>AVERAGE(B72:B78)</f>
        <v/>
      </c>
    </row>
    <row r="79">
      <c r="A79" s="23" t="n">
        <v>46389</v>
      </c>
      <c r="B79">
        <f>SUMIFS(سجل!$C:$C,سجل!$A:$A,A79)</f>
        <v/>
      </c>
      <c r="C79">
        <f>IF(A79&gt;TODAY(),NA(),ملخص!$B$10-SUM($B$2:B79))</f>
        <v/>
      </c>
      <c r="D79">
        <f>AVERAGE(B73:B79)</f>
        <v/>
      </c>
    </row>
    <row r="80">
      <c r="A80" s="23" t="n">
        <v>46390</v>
      </c>
      <c r="B80">
        <f>SUMIFS(سجل!$C:$C,سجل!$A:$A,A80)</f>
        <v/>
      </c>
      <c r="C80">
        <f>IF(A80&gt;TODAY(),NA(),ملخص!$B$10-SUM($B$2:B80))</f>
        <v/>
      </c>
      <c r="D80">
        <f>AVERAGE(B74:B80)</f>
        <v/>
      </c>
    </row>
    <row r="81">
      <c r="A81" s="23" t="n">
        <v>46391</v>
      </c>
      <c r="B81">
        <f>SUMIFS(سجل!$C:$C,سجل!$A:$A,A81)</f>
        <v/>
      </c>
      <c r="C81">
        <f>IF(A81&gt;TODAY(),NA(),ملخص!$B$10-SUM($B$2:B81))</f>
        <v/>
      </c>
      <c r="D81">
        <f>AVERAGE(B75:B81)</f>
        <v/>
      </c>
    </row>
    <row r="82">
      <c r="A82" s="23" t="n">
        <v>46392</v>
      </c>
      <c r="B82">
        <f>SUMIFS(سجل!$C:$C,سجل!$A:$A,A82)</f>
        <v/>
      </c>
      <c r="C82">
        <f>IF(A82&gt;TODAY(),NA(),ملخص!$B$10-SUM($B$2:B82))</f>
        <v/>
      </c>
      <c r="D82">
        <f>AVERAGE(B76:B82)</f>
        <v/>
      </c>
    </row>
    <row r="83">
      <c r="A83" s="23" t="n">
        <v>46393</v>
      </c>
      <c r="B83">
        <f>SUMIFS(سجل!$C:$C,سجل!$A:$A,A83)</f>
        <v/>
      </c>
      <c r="C83">
        <f>IF(A83&gt;TODAY(),NA(),ملخص!$B$10-SUM($B$2:B83))</f>
        <v/>
      </c>
      <c r="D83">
        <f>AVERAGE(B77:B83)</f>
        <v/>
      </c>
    </row>
    <row r="84">
      <c r="A84" s="23" t="n">
        <v>46394</v>
      </c>
      <c r="B84">
        <f>SUMIFS(سجل!$C:$C,سجل!$A:$A,A84)</f>
        <v/>
      </c>
      <c r="C84">
        <f>IF(A84&gt;TODAY(),NA(),ملخص!$B$10-SUM($B$2:B84))</f>
        <v/>
      </c>
      <c r="D84">
        <f>AVERAGE(B78:B84)</f>
        <v/>
      </c>
    </row>
    <row r="85">
      <c r="A85" s="23" t="n">
        <v>46395</v>
      </c>
      <c r="B85">
        <f>SUMIFS(سجل!$C:$C,سجل!$A:$A,A85)</f>
        <v/>
      </c>
      <c r="C85">
        <f>IF(A85&gt;TODAY(),NA(),ملخص!$B$10-SUM($B$2:B85))</f>
        <v/>
      </c>
      <c r="D85">
        <f>AVERAGE(B79:B85)</f>
        <v/>
      </c>
    </row>
    <row r="86">
      <c r="A86" s="23" t="n">
        <v>46396</v>
      </c>
      <c r="B86">
        <f>SUMIFS(سجل!$C:$C,سجل!$A:$A,A86)</f>
        <v/>
      </c>
      <c r="C86">
        <f>IF(A86&gt;TODAY(),NA(),ملخص!$B$10-SUM($B$2:B86))</f>
        <v/>
      </c>
      <c r="D86">
        <f>AVERAGE(B80:B86)</f>
        <v/>
      </c>
    </row>
    <row r="87">
      <c r="A87" s="23" t="n">
        <v>46397</v>
      </c>
      <c r="B87">
        <f>SUMIFS(سجل!$C:$C,سجل!$A:$A,A87)</f>
        <v/>
      </c>
      <c r="C87">
        <f>IF(A87&gt;TODAY(),NA(),ملخص!$B$10-SUM($B$2:B87))</f>
        <v/>
      </c>
      <c r="D87">
        <f>AVERAGE(B81:B87)</f>
        <v/>
      </c>
    </row>
    <row r="88">
      <c r="A88" s="23" t="n">
        <v>46398</v>
      </c>
      <c r="B88">
        <f>SUMIFS(سجل!$C:$C,سجل!$A:$A,A88)</f>
        <v/>
      </c>
      <c r="C88">
        <f>IF(A88&gt;TODAY(),NA(),ملخص!$B$10-SUM($B$2:B88))</f>
        <v/>
      </c>
      <c r="D88">
        <f>AVERAGE(B82:B88)</f>
        <v/>
      </c>
    </row>
    <row r="89">
      <c r="A89" s="23" t="n">
        <v>46399</v>
      </c>
      <c r="B89">
        <f>SUMIFS(سجل!$C:$C,سجل!$A:$A,A89)</f>
        <v/>
      </c>
      <c r="C89">
        <f>IF(A89&gt;TODAY(),NA(),ملخص!$B$10-SUM($B$2:B89))</f>
        <v/>
      </c>
      <c r="D89">
        <f>AVERAGE(B83:B89)</f>
        <v/>
      </c>
    </row>
    <row r="90">
      <c r="A90" s="23" t="n">
        <v>46400</v>
      </c>
      <c r="B90">
        <f>SUMIFS(سجل!$C:$C,سجل!$A:$A,A90)</f>
        <v/>
      </c>
      <c r="C90">
        <f>IF(A90&gt;TODAY(),NA(),ملخص!$B$10-SUM($B$2:B90))</f>
        <v/>
      </c>
      <c r="D90">
        <f>AVERAGE(B84:B90)</f>
        <v/>
      </c>
    </row>
    <row r="91">
      <c r="A91" s="23" t="n">
        <v>46401</v>
      </c>
      <c r="B91">
        <f>SUMIFS(سجل!$C:$C,سجل!$A:$A,A91)</f>
        <v/>
      </c>
      <c r="C91">
        <f>IF(A91&gt;TODAY(),NA(),ملخص!$B$10-SUM($B$2:B91))</f>
        <v/>
      </c>
      <c r="D91">
        <f>AVERAGE(B85:B91)</f>
        <v/>
      </c>
    </row>
    <row r="92">
      <c r="A92" s="23" t="n">
        <v>46402</v>
      </c>
      <c r="B92">
        <f>SUMIFS(سجل!$C:$C,سجل!$A:$A,A92)</f>
        <v/>
      </c>
      <c r="C92">
        <f>IF(A92&gt;TODAY(),NA(),ملخص!$B$10-SUM($B$2:B92))</f>
        <v/>
      </c>
      <c r="D92">
        <f>AVERAGE(B86:B92)</f>
        <v/>
      </c>
    </row>
    <row r="93">
      <c r="A93" s="23" t="n">
        <v>46403</v>
      </c>
      <c r="B93">
        <f>SUMIFS(سجل!$C:$C,سجل!$A:$A,A93)</f>
        <v/>
      </c>
      <c r="C93">
        <f>IF(A93&gt;TODAY(),NA(),ملخص!$B$10-SUM($B$2:B93))</f>
        <v/>
      </c>
      <c r="D93">
        <f>AVERAGE(B87:B93)</f>
        <v/>
      </c>
    </row>
    <row r="94">
      <c r="A94" s="23" t="n">
        <v>46404</v>
      </c>
      <c r="B94">
        <f>SUMIFS(سجل!$C:$C,سجل!$A:$A,A94)</f>
        <v/>
      </c>
      <c r="C94">
        <f>IF(A94&gt;TODAY(),NA(),ملخص!$B$10-SUM($B$2:B94))</f>
        <v/>
      </c>
      <c r="D94">
        <f>AVERAGE(B88:B94)</f>
        <v/>
      </c>
    </row>
    <row r="95">
      <c r="A95" s="23" t="n">
        <v>46405</v>
      </c>
      <c r="B95">
        <f>SUMIFS(سجل!$C:$C,سجل!$A:$A,A95)</f>
        <v/>
      </c>
      <c r="C95">
        <f>IF(A95&gt;TODAY(),NA(),ملخص!$B$10-SUM($B$2:B95))</f>
        <v/>
      </c>
      <c r="D95">
        <f>AVERAGE(B89:B95)</f>
        <v/>
      </c>
    </row>
    <row r="96">
      <c r="A96" s="23" t="n">
        <v>46406</v>
      </c>
      <c r="B96">
        <f>SUMIFS(سجل!$C:$C,سجل!$A:$A,A96)</f>
        <v/>
      </c>
      <c r="C96">
        <f>IF(A96&gt;TODAY(),NA(),ملخص!$B$10-SUM($B$2:B96))</f>
        <v/>
      </c>
      <c r="D96">
        <f>AVERAGE(B90:B96)</f>
        <v/>
      </c>
    </row>
    <row r="97">
      <c r="A97" s="23" t="n">
        <v>46407</v>
      </c>
      <c r="B97">
        <f>SUMIFS(سجل!$C:$C,سجل!$A:$A,A97)</f>
        <v/>
      </c>
      <c r="C97">
        <f>IF(A97&gt;TODAY(),NA(),ملخص!$B$10-SUM($B$2:B97))</f>
        <v/>
      </c>
      <c r="D97">
        <f>AVERAGE(B91:B97)</f>
        <v/>
      </c>
    </row>
    <row r="98">
      <c r="A98" s="23" t="n">
        <v>46408</v>
      </c>
      <c r="B98">
        <f>SUMIFS(سجل!$C:$C,سجل!$A:$A,A98)</f>
        <v/>
      </c>
      <c r="C98">
        <f>IF(A98&gt;TODAY(),NA(),ملخص!$B$10-SUM($B$2:B98))</f>
        <v/>
      </c>
      <c r="D98">
        <f>AVERAGE(B92:B98)</f>
        <v/>
      </c>
    </row>
    <row r="99">
      <c r="A99" s="23" t="n">
        <v>46409</v>
      </c>
      <c r="B99">
        <f>SUMIFS(سجل!$C:$C,سجل!$A:$A,A99)</f>
        <v/>
      </c>
      <c r="C99">
        <f>IF(A99&gt;TODAY(),NA(),ملخص!$B$10-SUM($B$2:B99))</f>
        <v/>
      </c>
      <c r="D99">
        <f>AVERAGE(B93:B99)</f>
        <v/>
      </c>
    </row>
    <row r="100">
      <c r="A100" s="23" t="n">
        <v>46410</v>
      </c>
      <c r="B100">
        <f>SUMIFS(سجل!$C:$C,سجل!$A:$A,A100)</f>
        <v/>
      </c>
      <c r="C100">
        <f>IF(A100&gt;TODAY(),NA(),ملخص!$B$10-SUM($B$2:B100))</f>
        <v/>
      </c>
      <c r="D100">
        <f>AVERAGE(B94:B100)</f>
        <v/>
      </c>
    </row>
    <row r="101">
      <c r="A101" s="23" t="n">
        <v>46411</v>
      </c>
      <c r="B101">
        <f>SUMIFS(سجل!$C:$C,سجل!$A:$A,A101)</f>
        <v/>
      </c>
      <c r="C101">
        <f>IF(A101&gt;TODAY(),NA(),ملخص!$B$10-SUM($B$2:B101))</f>
        <v/>
      </c>
      <c r="D101">
        <f>AVERAGE(B95:B101)</f>
        <v/>
      </c>
    </row>
    <row r="102">
      <c r="A102" s="23" t="n">
        <v>46412</v>
      </c>
      <c r="B102">
        <f>SUMIFS(سجل!$C:$C,سجل!$A:$A,A102)</f>
        <v/>
      </c>
      <c r="C102">
        <f>IF(A102&gt;TODAY(),NA(),ملخص!$B$10-SUM($B$2:B102))</f>
        <v/>
      </c>
      <c r="D102">
        <f>AVERAGE(B96:B102)</f>
        <v/>
      </c>
    </row>
    <row r="103">
      <c r="A103" s="23" t="n">
        <v>46413</v>
      </c>
      <c r="B103">
        <f>SUMIFS(سجل!$C:$C,سجل!$A:$A,A103)</f>
        <v/>
      </c>
      <c r="C103">
        <f>IF(A103&gt;TODAY(),NA(),ملخص!$B$10-SUM($B$2:B103))</f>
        <v/>
      </c>
      <c r="D103">
        <f>AVERAGE(B97:B103)</f>
        <v/>
      </c>
    </row>
    <row r="104">
      <c r="A104" s="23" t="n">
        <v>46414</v>
      </c>
      <c r="B104">
        <f>SUMIFS(سجل!$C:$C,سجل!$A:$A,A104)</f>
        <v/>
      </c>
      <c r="C104">
        <f>IF(A104&gt;TODAY(),NA(),ملخص!$B$10-SUM($B$2:B104))</f>
        <v/>
      </c>
      <c r="D104">
        <f>AVERAGE(B98:B104)</f>
        <v/>
      </c>
    </row>
    <row r="105">
      <c r="A105" s="23" t="n">
        <v>46415</v>
      </c>
      <c r="B105">
        <f>SUMIFS(سجل!$C:$C,سجل!$A:$A,A105)</f>
        <v/>
      </c>
      <c r="C105">
        <f>IF(A105&gt;TODAY(),NA(),ملخص!$B$10-SUM($B$2:B105))</f>
        <v/>
      </c>
      <c r="D105">
        <f>AVERAGE(B99:B105)</f>
        <v/>
      </c>
    </row>
    <row r="106">
      <c r="A106" s="23" t="n">
        <v>46416</v>
      </c>
      <c r="B106">
        <f>SUMIFS(سجل!$C:$C,سجل!$A:$A,A106)</f>
        <v/>
      </c>
      <c r="C106">
        <f>IF(A106&gt;TODAY(),NA(),ملخص!$B$10-SUM($B$2:B106))</f>
        <v/>
      </c>
      <c r="D106">
        <f>AVERAGE(B100:B106)</f>
        <v/>
      </c>
    </row>
    <row r="107">
      <c r="A107" s="23" t="n">
        <v>46417</v>
      </c>
      <c r="B107">
        <f>SUMIFS(سجل!$C:$C,سجل!$A:$A,A107)</f>
        <v/>
      </c>
      <c r="C107">
        <f>IF(A107&gt;TODAY(),NA(),ملخص!$B$10-SUM($B$2:B107))</f>
        <v/>
      </c>
      <c r="D107">
        <f>AVERAGE(B101:B107)</f>
        <v/>
      </c>
    </row>
    <row r="108">
      <c r="A108" s="23" t="n">
        <v>46418</v>
      </c>
      <c r="B108">
        <f>SUMIFS(سجل!$C:$C,سجل!$A:$A,A108)</f>
        <v/>
      </c>
      <c r="C108">
        <f>IF(A108&gt;TODAY(),NA(),ملخص!$B$10-SUM($B$2:B108))</f>
        <v/>
      </c>
      <c r="D108">
        <f>AVERAGE(B102:B108)</f>
        <v/>
      </c>
    </row>
    <row r="109">
      <c r="A109" s="23" t="n">
        <v>46419</v>
      </c>
      <c r="B109">
        <f>SUMIFS(سجل!$C:$C,سجل!$A:$A,A109)</f>
        <v/>
      </c>
      <c r="C109">
        <f>IF(A109&gt;TODAY(),NA(),ملخص!$B$10-SUM($B$2:B109))</f>
        <v/>
      </c>
      <c r="D109">
        <f>AVERAGE(B103:B109)</f>
        <v/>
      </c>
    </row>
    <row r="110">
      <c r="A110" s="23" t="n">
        <v>46420</v>
      </c>
      <c r="B110">
        <f>SUMIFS(سجل!$C:$C,سجل!$A:$A,A110)</f>
        <v/>
      </c>
      <c r="C110">
        <f>IF(A110&gt;TODAY(),NA(),ملخص!$B$10-SUM($B$2:B110))</f>
        <v/>
      </c>
      <c r="D110">
        <f>AVERAGE(B104:B110)</f>
        <v/>
      </c>
    </row>
    <row r="111">
      <c r="A111" s="23" t="n">
        <v>46421</v>
      </c>
      <c r="B111">
        <f>SUMIFS(سجل!$C:$C,سجل!$A:$A,A111)</f>
        <v/>
      </c>
      <c r="C111">
        <f>IF(A111&gt;TODAY(),NA(),ملخص!$B$10-SUM($B$2:B111))</f>
        <v/>
      </c>
      <c r="D111">
        <f>AVERAGE(B105:B111)</f>
        <v/>
      </c>
    </row>
    <row r="112">
      <c r="A112" s="23" t="n">
        <v>46422</v>
      </c>
      <c r="B112">
        <f>SUMIFS(سجل!$C:$C,سجل!$A:$A,A112)</f>
        <v/>
      </c>
      <c r="C112">
        <f>IF(A112&gt;TODAY(),NA(),ملخص!$B$10-SUM($B$2:B112))</f>
        <v/>
      </c>
      <c r="D112">
        <f>AVERAGE(B106:B112)</f>
        <v/>
      </c>
    </row>
    <row r="113">
      <c r="A113" s="23" t="n">
        <v>46423</v>
      </c>
      <c r="B113">
        <f>SUMIFS(سجل!$C:$C,سجل!$A:$A,A113)</f>
        <v/>
      </c>
      <c r="C113">
        <f>IF(A113&gt;TODAY(),NA(),ملخص!$B$10-SUM($B$2:B113))</f>
        <v/>
      </c>
      <c r="D113">
        <f>AVERAGE(B107:B113)</f>
        <v/>
      </c>
    </row>
    <row r="114">
      <c r="A114" s="23" t="n">
        <v>46424</v>
      </c>
      <c r="B114">
        <f>SUMIFS(سجل!$C:$C,سجل!$A:$A,A114)</f>
        <v/>
      </c>
      <c r="C114">
        <f>IF(A114&gt;TODAY(),NA(),ملخص!$B$10-SUM($B$2:B114))</f>
        <v/>
      </c>
      <c r="D114">
        <f>AVERAGE(B108:B114)</f>
        <v/>
      </c>
    </row>
    <row r="115">
      <c r="A115" s="23" t="n">
        <v>46425</v>
      </c>
      <c r="B115">
        <f>SUMIFS(سجل!$C:$C,سجل!$A:$A,A115)</f>
        <v/>
      </c>
      <c r="C115">
        <f>IF(A115&gt;TODAY(),NA(),ملخص!$B$10-SUM($B$2:B115))</f>
        <v/>
      </c>
      <c r="D115">
        <f>AVERAGE(B109:B115)</f>
        <v/>
      </c>
    </row>
    <row r="116">
      <c r="A116" s="23" t="n">
        <v>46426</v>
      </c>
      <c r="B116">
        <f>SUMIFS(سجل!$C:$C,سجل!$A:$A,A116)</f>
        <v/>
      </c>
      <c r="C116">
        <f>IF(A116&gt;TODAY(),NA(),ملخص!$B$10-SUM($B$2:B116))</f>
        <v/>
      </c>
      <c r="D116">
        <f>AVERAGE(B110:B116)</f>
        <v/>
      </c>
    </row>
    <row r="117">
      <c r="A117" s="23" t="n">
        <v>46427</v>
      </c>
      <c r="B117">
        <f>SUMIFS(سجل!$C:$C,سجل!$A:$A,A117)</f>
        <v/>
      </c>
      <c r="C117">
        <f>IF(A117&gt;TODAY(),NA(),ملخص!$B$10-SUM($B$2:B117))</f>
        <v/>
      </c>
      <c r="D117">
        <f>AVERAGE(B111:B117)</f>
        <v/>
      </c>
    </row>
    <row r="118">
      <c r="A118" s="23" t="n">
        <v>46428</v>
      </c>
      <c r="B118">
        <f>SUMIFS(سجل!$C:$C,سجل!$A:$A,A118)</f>
        <v/>
      </c>
      <c r="C118">
        <f>IF(A118&gt;TODAY(),NA(),ملخص!$B$10-SUM($B$2:B118))</f>
        <v/>
      </c>
      <c r="D118">
        <f>AVERAGE(B112:B118)</f>
        <v/>
      </c>
    </row>
    <row r="119">
      <c r="A119" s="23" t="n">
        <v>46429</v>
      </c>
      <c r="B119">
        <f>SUMIFS(سجل!$C:$C,سجل!$A:$A,A119)</f>
        <v/>
      </c>
      <c r="C119">
        <f>IF(A119&gt;TODAY(),NA(),ملخص!$B$10-SUM($B$2:B119))</f>
        <v/>
      </c>
      <c r="D119">
        <f>AVERAGE(B113:B119)</f>
        <v/>
      </c>
    </row>
    <row r="120">
      <c r="A120" s="23" t="n">
        <v>46430</v>
      </c>
      <c r="B120">
        <f>SUMIFS(سجل!$C:$C,سجل!$A:$A,A120)</f>
        <v/>
      </c>
      <c r="C120">
        <f>IF(A120&gt;TODAY(),NA(),ملخص!$B$10-SUM($B$2:B120))</f>
        <v/>
      </c>
      <c r="D120">
        <f>AVERAGE(B114:B120)</f>
        <v/>
      </c>
    </row>
    <row r="121">
      <c r="A121" s="23" t="n">
        <v>46431</v>
      </c>
      <c r="B121">
        <f>SUMIFS(سجل!$C:$C,سجل!$A:$A,A121)</f>
        <v/>
      </c>
      <c r="C121">
        <f>IF(A121&gt;TODAY(),NA(),ملخص!$B$10-SUM($B$2:B121))</f>
        <v/>
      </c>
      <c r="D121">
        <f>AVERAGE(B115:B121)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2026-10-17T15:53:03Z</dcterms:created>
  <dcterms:modified xmlns:dcterms="http://purl.org/dc/terms/" xmlns:xsi="http://www.w3.org/2001/XMLSchema-instance" xsi:type="dcterms:W3CDTF">2026-10-17T15:58:22Z</dcterms:modified>
</cp:coreProperties>
</file>