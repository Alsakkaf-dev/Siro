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Semester loads" sheetId="3" state="visible" r:id="rId3"/>
    <sheet xmlns:r="http://schemas.openxmlformats.org/officeDocument/2006/relationships" name="Changes vs old plan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Sources &amp; legend" sheetId="7" state="visible" r:id="rId7"/>
  </sheets>
  <definedNames>
    <definedName name="_xlnm._FilterDatabase" localSheetId="1" hidden="1">'Plan'!$A$1:$N$53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9F2D0"/>
      </patternFill>
    </fill>
    <fill>
      <patternFill patternType="solid">
        <fgColor rgb="00E6DAF7"/>
      </patternFill>
    </fill>
    <fill>
      <patternFill patternType="solid">
        <fgColor rgb="00EEEEEE"/>
      </patternFill>
    </fill>
    <fill>
      <patternFill patternType="solid">
        <fgColor rgb="00F8C9C9"/>
      </patternFill>
    </fill>
    <fill>
      <patternFill patternType="solid">
        <fgColor rgb="00FFFFFF"/>
      </patternFill>
    </fill>
    <fill>
      <patternFill patternType="solid">
        <fgColor rgb="00CFE2FF"/>
      </patternFill>
    </fill>
    <fill>
      <patternFill patternType="solid">
        <fgColor rgb="00FFE8A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12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Mohammed Mohsen Mohammed Al-Sakkaf (A23CS4026) - SCSEH01 Bachelor in Software Engineering with Honours, UTM - intake 2024/2025</t>
        </is>
      </c>
    </row>
    <row r="2">
      <c r="A2" t="inlineStr">
        <is>
          <t>Study plan v2 - as of 2026-10-14. Evidence tags: P = proven in a document, C = calculated, A = assumption. Category totals below are live formulas over sheet 'Plan'.</t>
        </is>
      </c>
    </row>
    <row r="4">
      <c r="A4" s="2" t="inlineStr">
        <is>
          <t>Category</t>
        </is>
      </c>
      <c r="B4" s="2" t="inlineStr">
        <is>
          <t>Meaning</t>
        </is>
      </c>
      <c r="C4" s="2" t="inlineStr">
        <is>
          <t>Required</t>
        </is>
      </c>
      <c r="D4" s="2" t="inlineStr">
        <is>
          <t>Earned</t>
        </is>
      </c>
      <c r="E4" s="2" t="inlineStr">
        <is>
          <t>Registered (slip)</t>
        </is>
      </c>
      <c r="F4" s="2" t="inlineStr">
        <is>
          <t>To add (SEM 5, unconfirmed)</t>
        </is>
      </c>
      <c r="G4" s="2" t="inlineStr">
        <is>
          <t>Planned SEM 6-9</t>
        </is>
      </c>
      <c r="H4" s="2" t="inlineStr">
        <is>
          <t>Remaining after plan</t>
        </is>
      </c>
      <c r="I4" s="2" t="inlineStr">
        <is>
          <t>Still needed today (Req - Earned)</t>
        </is>
      </c>
    </row>
    <row r="5">
      <c r="A5" s="3" t="inlineStr">
        <is>
          <t>T</t>
        </is>
      </c>
      <c r="B5" s="3" t="inlineStr">
        <is>
          <t>Faculty core (Wajib/Teras Fakulti)</t>
        </is>
      </c>
      <c r="C5" s="3" t="n">
        <v>82</v>
      </c>
      <c r="D5" s="3">
        <f>SUMIFS(Plan!$F:$F,Plan!$G:$G,"T",Plan!$J:$J,"Earned")</f>
        <v/>
      </c>
      <c r="E5" s="3">
        <f>SUMIFS(Plan!$F:$F,Plan!$G:$G,"T",Plan!$J:$J,"Registered")</f>
        <v/>
      </c>
      <c r="F5" s="3">
        <f>SUMIFS(Plan!$F:$F,Plan!$G:$G,"T",Plan!$J:$J,"To add")</f>
        <v/>
      </c>
      <c r="G5" s="3">
        <f>SUMIFS(Plan!$F:$F,Plan!$G:$G,"T",Plan!$J:$J,"Planned")</f>
        <v/>
      </c>
      <c r="H5" s="3">
        <f>C5-D5-E5-F5-G5</f>
        <v/>
      </c>
      <c r="I5" s="3">
        <f>C5-D5</f>
        <v/>
      </c>
    </row>
    <row r="6">
      <c r="A6" s="3" t="inlineStr">
        <is>
          <t>E</t>
        </is>
      </c>
      <c r="B6" s="3" t="inlineStr">
        <is>
          <t>Programme electives (Elektif)</t>
        </is>
      </c>
      <c r="C6" s="3" t="n">
        <v>18</v>
      </c>
      <c r="D6" s="3">
        <f>SUMIFS(Plan!$F:$F,Plan!$G:$G,"E",Plan!$J:$J,"Earned")</f>
        <v/>
      </c>
      <c r="E6" s="3">
        <f>SUMIFS(Plan!$F:$F,Plan!$G:$G,"E",Plan!$J:$J,"Registered")</f>
        <v/>
      </c>
      <c r="F6" s="3">
        <f>SUMIFS(Plan!$F:$F,Plan!$G:$G,"E",Plan!$J:$J,"To add")</f>
        <v/>
      </c>
      <c r="G6" s="3">
        <f>SUMIFS(Plan!$F:$F,Plan!$G:$G,"E",Plan!$J:$J,"Planned")</f>
        <v/>
      </c>
      <c r="H6" s="3">
        <f>C6-D6-E6-F6-G6</f>
        <v/>
      </c>
      <c r="I6" s="3">
        <f>C6-D6</f>
        <v/>
      </c>
    </row>
    <row r="7">
      <c r="A7" s="3" t="inlineStr">
        <is>
          <t>U</t>
        </is>
      </c>
      <c r="B7" s="3" t="inlineStr">
        <is>
          <t>University (Umum Universiti) incl. 4 Free Electives = 12</t>
        </is>
      </c>
      <c r="C7" s="3" t="n">
        <v>20</v>
      </c>
      <c r="D7" s="3">
        <f>SUMIFS(Plan!$F:$F,Plan!$G:$G,"U",Plan!$J:$J,"Earned")</f>
        <v/>
      </c>
      <c r="E7" s="3">
        <f>SUMIFS(Plan!$F:$F,Plan!$G:$G,"U",Plan!$J:$J,"Registered")</f>
        <v/>
      </c>
      <c r="F7" s="3">
        <f>SUMIFS(Plan!$F:$F,Plan!$G:$G,"U",Plan!$J:$J,"To add")</f>
        <v/>
      </c>
      <c r="G7" s="3">
        <f>SUMIFS(Plan!$F:$F,Plan!$G:$G,"U",Plan!$J:$J,"Planned")</f>
        <v/>
      </c>
      <c r="H7" s="3">
        <f>C7-D7-E7-F7-G7</f>
        <v/>
      </c>
      <c r="I7" s="3">
        <f>C7-D7</f>
        <v/>
      </c>
    </row>
    <row r="8">
      <c r="A8" s="3" t="inlineStr">
        <is>
          <t>B</t>
        </is>
      </c>
      <c r="B8" s="3" t="inlineStr">
        <is>
          <t>English / languages (Bahasa Inggeris)</t>
        </is>
      </c>
      <c r="C8" s="3" t="n">
        <v>6</v>
      </c>
      <c r="D8" s="3">
        <f>SUMIFS(Plan!$F:$F,Plan!$G:$G,"B",Plan!$J:$J,"Earned")</f>
        <v/>
      </c>
      <c r="E8" s="3">
        <f>SUMIFS(Plan!$F:$F,Plan!$G:$G,"B",Plan!$J:$J,"Registered")</f>
        <v/>
      </c>
      <c r="F8" s="3">
        <f>SUMIFS(Plan!$F:$F,Plan!$G:$G,"B",Plan!$J:$J,"To add")</f>
        <v/>
      </c>
      <c r="G8" s="3">
        <f>SUMIFS(Plan!$F:$F,Plan!$G:$G,"B",Plan!$J:$J,"Planned")</f>
        <v/>
      </c>
      <c r="H8" s="3">
        <f>C8-D8-E8-F8-G8</f>
        <v/>
      </c>
      <c r="I8" s="3">
        <f>C8-D8</f>
        <v/>
      </c>
    </row>
    <row r="9">
      <c r="A9" s="3" t="inlineStr">
        <is>
          <t>K</t>
        </is>
      </c>
      <c r="B9" s="3" t="inlineStr">
        <is>
          <t>Co-curriculum (Kokurikulum)</t>
        </is>
      </c>
      <c r="C9" s="3" t="n">
        <v>2</v>
      </c>
      <c r="D9" s="3">
        <f>SUMIFS(Plan!$F:$F,Plan!$G:$G,"K",Plan!$J:$J,"Earned")</f>
        <v/>
      </c>
      <c r="E9" s="3">
        <f>SUMIFS(Plan!$F:$F,Plan!$G:$G,"K",Plan!$J:$J,"Registered")</f>
        <v/>
      </c>
      <c r="F9" s="3">
        <f>SUMIFS(Plan!$F:$F,Plan!$G:$G,"K",Plan!$J:$J,"To add")</f>
        <v/>
      </c>
      <c r="G9" s="3">
        <f>SUMIFS(Plan!$F:$F,Plan!$G:$G,"K",Plan!$J:$J,"Planned")</f>
        <v/>
      </c>
      <c r="H9" s="3">
        <f>C9-D9-E9-F9-G9</f>
        <v/>
      </c>
      <c r="I9" s="3">
        <f>C9-D9</f>
        <v/>
      </c>
    </row>
    <row r="10">
      <c r="A10" s="4" t="inlineStr">
        <is>
          <t>TOTAL</t>
        </is>
      </c>
      <c r="B10" s="3" t="n"/>
      <c r="C10" s="4">
        <f>SUM(C5:C9)</f>
        <v/>
      </c>
      <c r="D10" s="4">
        <f>SUM(D5:D9)</f>
        <v/>
      </c>
      <c r="E10" s="4">
        <f>SUM(E5:E9)</f>
        <v/>
      </c>
      <c r="F10" s="4">
        <f>SUM(F5:F9)</f>
        <v/>
      </c>
      <c r="G10" s="4">
        <f>SUM(G5:G9)</f>
        <v/>
      </c>
      <c r="H10" s="4">
        <f>SUM(H5:H9)</f>
        <v/>
      </c>
      <c r="I10" s="4">
        <f>SUM(I5:I9)</f>
        <v/>
      </c>
    </row>
    <row r="11">
      <c r="A11" t="inlineStr">
        <is>
          <t>UHLB1112 English Communication Skills (2, HL/HW) is NOT in these totals: the audit counts it under B and in KD 57 -&gt; conflict K1. Audit 'Jumlah kredit dapat' (incl. registered + UHLB1112): T49 E9 U7 B2 K2 = 69.</t>
        </is>
      </c>
    </row>
    <row r="13">
      <c r="A13" s="5" t="inlineStr">
        <is>
          <t>KD projection (if every course is passed)</t>
        </is>
      </c>
    </row>
    <row r="14">
      <c r="A14" s="2" t="inlineStr">
        <is>
          <t>Point</t>
        </is>
      </c>
      <c r="B14" s="2" t="inlineStr">
        <is>
          <t>Official KD (incl. UHLB1112)</t>
        </is>
      </c>
      <c r="C14" s="2" t="inlineStr">
        <is>
          <t>Credits toward 128</t>
        </is>
      </c>
      <c r="D14" s="2" t="inlineStr">
        <is>
          <t>Tag</t>
        </is>
      </c>
      <c r="E14" s="2" t="inlineStr">
        <is>
          <t>Gate check</t>
        </is>
      </c>
    </row>
    <row r="15">
      <c r="A15" s="3" t="inlineStr">
        <is>
          <t>Now - after 2025/26-II (official)</t>
        </is>
      </c>
      <c r="B15" s="3" t="n">
        <v>57</v>
      </c>
      <c r="C15" s="3" t="n">
        <v>55</v>
      </c>
      <c r="D15" s="3" t="inlineStr">
        <is>
          <t>P [RES]</t>
        </is>
      </c>
      <c r="E15" s="3" t="inlineStr">
        <is>
          <t>-</t>
        </is>
      </c>
    </row>
    <row r="16">
      <c r="A16" s="3" t="inlineStr">
        <is>
          <t>End SEM 5 - registered 12 only</t>
        </is>
      </c>
      <c r="B16" s="3" t="n">
        <v>69</v>
      </c>
      <c r="C16" s="3" t="n">
        <v>67</v>
      </c>
      <c r="D16" s="3" t="inlineStr">
        <is>
          <t>C</t>
        </is>
      </c>
      <c r="E16" s="3" t="inlineStr">
        <is>
          <t>&lt; 80: SCSE3242 not possible in SEM 6</t>
        </is>
      </c>
    </row>
    <row r="17">
      <c r="A17" s="3" t="inlineStr">
        <is>
          <t>End SEM 5 - registered 12 + to add 6</t>
        </is>
      </c>
      <c r="B17" s="3" t="n">
        <v>75</v>
      </c>
      <c r="C17" s="3" t="n">
        <v>73</v>
      </c>
      <c r="D17" s="3" t="inlineStr">
        <is>
          <t>C (A3)</t>
        </is>
      </c>
      <c r="E17" s="3" t="inlineStr">
        <is>
          <t>&lt; 80: SCSE3242 still not possible in SEM 6</t>
        </is>
      </c>
    </row>
    <row r="18">
      <c r="A18" s="3" t="inlineStr">
        <is>
          <t>End SEM 6 (+17)</t>
        </is>
      </c>
      <c r="B18" s="3" t="n">
        <v>92</v>
      </c>
      <c r="C18" s="3" t="n">
        <v>90</v>
      </c>
      <c r="D18" s="3" t="inlineStr">
        <is>
          <t>C (A4)</t>
        </is>
      </c>
      <c r="E18" s="3" t="inlineStr">
        <is>
          <t>&gt;= 80: SCSE3242 OK in SEM 7; 92 IT gate reached (official KD)</t>
        </is>
      </c>
    </row>
    <row r="19">
      <c r="A19" s="3" t="inlineStr">
        <is>
          <t>End SEM 7 (+13)</t>
        </is>
      </c>
      <c r="B19" s="3" t="n">
        <v>105</v>
      </c>
      <c r="C19" s="3" t="n">
        <v>103</v>
      </c>
      <c r="D19" s="3" t="inlineStr">
        <is>
          <t>C</t>
        </is>
      </c>
      <c r="E19" s="3" t="inlineStr"/>
    </row>
    <row r="20">
      <c r="A20" s="3" t="inlineStr">
        <is>
          <t>End SEM 8 (+13)</t>
        </is>
      </c>
      <c r="B20" s="3" t="n">
        <v>118</v>
      </c>
      <c r="C20" s="3" t="n">
        <v>116</v>
      </c>
      <c r="D20" s="3" t="inlineStr">
        <is>
          <t>C</t>
        </is>
      </c>
      <c r="E20" s="3" t="inlineStr">
        <is>
          <t>&gt;= 92 + CGPA &gt;= 2.0: Industrial Training OK in SEM 9</t>
        </is>
      </c>
    </row>
    <row r="21">
      <c r="A21" s="3" t="inlineStr">
        <is>
          <t>End SEM 9 (+12)</t>
        </is>
      </c>
      <c r="B21" s="3" t="n">
        <v>130</v>
      </c>
      <c r="C21" s="3" t="n">
        <v>128</v>
      </c>
      <c r="D21" s="3" t="inlineStr">
        <is>
          <t>C</t>
        </is>
      </c>
      <c r="E21" s="3" t="inlineStr">
        <is>
          <t>128 graduation credits reached (official KD 130 incl. UHLB1112, see K1)</t>
        </is>
      </c>
    </row>
    <row r="23">
      <c r="A23" s="5" t="inlineStr">
        <is>
          <t>CGPA</t>
        </is>
      </c>
    </row>
    <row r="24">
      <c r="A24" t="inlineStr">
        <is>
          <t>Current JMN (P)</t>
        </is>
      </c>
      <c r="B24" t="n">
        <v>155.66</v>
      </c>
    </row>
    <row r="25">
      <c r="A25" t="inlineStr">
        <is>
          <t>Current KK (P)</t>
        </is>
      </c>
      <c r="B25" t="n">
        <v>61</v>
      </c>
    </row>
    <row r="26">
      <c r="A26" t="inlineStr">
        <is>
          <t>Current CGPA = JMN/KK (C)</t>
        </is>
      </c>
      <c r="B26">
        <f>ROUND(B24/B25,4)</f>
        <v/>
      </c>
    </row>
    <row r="27">
      <c r="A27" t="inlineStr">
        <is>
          <t>Graded credits h this semester (edit)</t>
        </is>
      </c>
      <c r="B27" t="n">
        <v>18</v>
      </c>
    </row>
    <row r="28">
      <c r="A28" t="inlineStr">
        <is>
          <t>Average grade point this semester (edit; 4 = all A)</t>
        </is>
      </c>
      <c r="B28" t="n">
        <v>4</v>
      </c>
    </row>
    <row r="29">
      <c r="A29" t="inlineStr">
        <is>
          <t>Projected CGPA = (JMN + gp*h)/(KK + h)  (C)</t>
        </is>
      </c>
      <c r="B29">
        <f>ROUND((B24+B28*B27)/(B25+B27),4)</f>
        <v/>
      </c>
    </row>
    <row r="30">
      <c r="A30" t="inlineStr">
        <is>
          <t>Ceiling, 12 registered credits all A (C)</t>
        </is>
      </c>
      <c r="B30">
        <f>ROUND((B24+4*12)/(B25+12),4)</f>
        <v/>
      </c>
    </row>
    <row r="31">
      <c r="A31" t="inlineStr">
        <is>
          <t>Ceiling, 18 credits (12 + 6 to add) all A (C, A3)</t>
        </is>
      </c>
      <c r="B31">
        <f>ROUND((B24+4*18)/(B25+18),4)</f>
        <v/>
      </c>
    </row>
    <row r="32">
      <c r="A32" t="inlineStr">
        <is>
          <t>Repeat effect example (A5): replace both D (3 cr x 1.00) with B (3.00), from today's base</t>
        </is>
      </c>
      <c r="B32">
        <f>ROUND((B24-6+18)/B25,4)</f>
        <v/>
      </c>
    </row>
    <row r="33">
      <c r="A33" t="inlineStr">
        <is>
          <t>Repeat replacement is an assumption (A5). It is supported by JMN/KK matching exactly when the first D attempts of SCSR2213 and SCST1223 are left out. SFMX1063 (NFE) and the UHLB/UHLF adds are assumed to be graded.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40" customWidth="1" min="3" max="3"/>
    <col width="8" customWidth="1" min="4" max="4"/>
    <col width="26" customWidth="1" min="5" max="5"/>
    <col width="9" customWidth="1" min="6" max="6"/>
    <col width="14" customWidth="1" min="7" max="7"/>
    <col width="16" customWidth="1" min="8" max="8"/>
    <col width="20" customWidth="1" min="9" max="9"/>
    <col width="11" customWidth="1" min="10" max="10"/>
    <col width="30" customWidth="1" min="11" max="11"/>
    <col width="20" customWidth="1" min="12" max="12"/>
    <col width="12" customWidth="1" min="13" max="13"/>
    <col width="55" customWidth="1" min="14" max="14"/>
  </cols>
  <sheetData>
    <row r="1">
      <c r="A1" s="2" t="inlineStr">
        <is>
          <t>Semester</t>
        </is>
      </c>
      <c r="B1" s="2" t="inlineStr">
        <is>
          <t>Code</t>
        </is>
      </c>
      <c r="C1" s="2" t="inlineStr">
        <is>
          <t>Course (English name)</t>
        </is>
      </c>
      <c r="D1" s="2" t="inlineStr">
        <is>
          <t>Credits</t>
        </is>
      </c>
      <c r="E1" s="2" t="inlineStr">
        <is>
          <t>Status</t>
        </is>
      </c>
      <c r="F1" s="2" t="inlineStr">
        <is>
          <t>Counts toward 128</t>
        </is>
      </c>
      <c r="G1" s="2" t="inlineStr">
        <is>
          <t>Category (T/E/U/B/K; U-FE = free-elective slot inside U)</t>
        </is>
      </c>
      <c r="H1" s="2" t="inlineStr">
        <is>
          <t>Grade / section</t>
        </is>
      </c>
      <c r="I1" s="2" t="inlineStr">
        <is>
          <t>Prerequisite</t>
        </is>
      </c>
      <c r="J1" s="2" t="inlineStr">
        <is>
          <t>Bucket</t>
        </is>
      </c>
      <c r="K1" s="2" t="inlineStr">
        <is>
          <t>Prerequisite met?</t>
        </is>
      </c>
      <c r="L1" s="2" t="inlineStr">
        <is>
          <t>Evidence (P/C/A)</t>
        </is>
      </c>
      <c r="M1" s="2" t="inlineStr">
        <is>
          <t>Source</t>
        </is>
      </c>
      <c r="N1" s="2" t="inlineStr">
        <is>
          <t>Note</t>
        </is>
      </c>
    </row>
    <row r="2">
      <c r="A2" s="6" t="inlineStr">
        <is>
          <t>Y1 S1 - 2024/2025 Sem I (202420251) - completed</t>
        </is>
      </c>
      <c r="B2" s="6" t="inlineStr">
        <is>
          <t>SCSE1013</t>
        </is>
      </c>
      <c r="C2" s="6" t="inlineStr">
        <is>
          <t>Fundamental Programming Concepts</t>
        </is>
      </c>
      <c r="D2" s="6" t="n">
        <v>3</v>
      </c>
      <c r="E2" s="6" t="inlineStr">
        <is>
          <t>Passed (C)</t>
        </is>
      </c>
      <c r="F2" s="6" t="n">
        <v>3</v>
      </c>
      <c r="G2" s="6" t="inlineStr">
        <is>
          <t>T</t>
        </is>
      </c>
      <c r="H2" s="6" t="inlineStr">
        <is>
          <t>C</t>
        </is>
      </c>
      <c r="I2" s="6" t="inlineStr">
        <is>
          <t>-</t>
        </is>
      </c>
      <c r="J2" s="6" t="inlineStr">
        <is>
          <t>Earned</t>
        </is>
      </c>
      <c r="K2" s="6" t="inlineStr">
        <is>
          <t>-</t>
        </is>
      </c>
      <c r="L2" s="6" t="inlineStr">
        <is>
          <t>P</t>
        </is>
      </c>
      <c r="M2" s="6" t="inlineStr">
        <is>
          <t>AUD</t>
        </is>
      </c>
      <c r="N2" s="6" t="inlineStr"/>
    </row>
    <row r="3">
      <c r="A3" s="6" t="inlineStr">
        <is>
          <t>Y1 S1 - 2024/2025 Sem I (202420251) - completed</t>
        </is>
      </c>
      <c r="B3" s="6" t="inlineStr">
        <is>
          <t>SCST1123</t>
        </is>
      </c>
      <c r="C3" s="6" t="inlineStr">
        <is>
          <t>Mathematics for Software Engineer</t>
        </is>
      </c>
      <c r="D3" s="6" t="n">
        <v>3</v>
      </c>
      <c r="E3" s="6" t="inlineStr">
        <is>
          <t>Passed (D+)</t>
        </is>
      </c>
      <c r="F3" s="6" t="n">
        <v>3</v>
      </c>
      <c r="G3" s="6" t="inlineStr">
        <is>
          <t>T</t>
        </is>
      </c>
      <c r="H3" s="6" t="inlineStr">
        <is>
          <t>D+</t>
        </is>
      </c>
      <c r="I3" s="6" t="inlineStr">
        <is>
          <t>-</t>
        </is>
      </c>
      <c r="J3" s="6" t="inlineStr">
        <is>
          <t>Earned</t>
        </is>
      </c>
      <c r="K3" s="6" t="inlineStr">
        <is>
          <t>-</t>
        </is>
      </c>
      <c r="L3" s="6" t="inlineStr">
        <is>
          <t>P</t>
        </is>
      </c>
      <c r="M3" s="6" t="inlineStr">
        <is>
          <t>AUD</t>
        </is>
      </c>
      <c r="N3" s="6" t="inlineStr"/>
    </row>
    <row r="4">
      <c r="A4" s="6" t="inlineStr">
        <is>
          <t>Y1 S1 - 2024/2025 Sem I (202420251) - completed</t>
        </is>
      </c>
      <c r="B4" s="6" t="inlineStr">
        <is>
          <t>SCSR1013</t>
        </is>
      </c>
      <c r="C4" s="6" t="inlineStr">
        <is>
          <t>Digital Logic</t>
        </is>
      </c>
      <c r="D4" s="6" t="n">
        <v>3</v>
      </c>
      <c r="E4" s="6" t="inlineStr">
        <is>
          <t>Passed (C+)</t>
        </is>
      </c>
      <c r="F4" s="6" t="n">
        <v>3</v>
      </c>
      <c r="G4" s="6" t="inlineStr">
        <is>
          <t>T</t>
        </is>
      </c>
      <c r="H4" s="6" t="inlineStr">
        <is>
          <t>C+</t>
        </is>
      </c>
      <c r="I4" s="6" t="inlineStr">
        <is>
          <t>-</t>
        </is>
      </c>
      <c r="J4" s="6" t="inlineStr">
        <is>
          <t>Earned</t>
        </is>
      </c>
      <c r="K4" s="6" t="inlineStr">
        <is>
          <t>-</t>
        </is>
      </c>
      <c r="L4" s="6" t="inlineStr">
        <is>
          <t>P</t>
        </is>
      </c>
      <c r="M4" s="6" t="inlineStr">
        <is>
          <t>AUD</t>
        </is>
      </c>
      <c r="N4" s="6" t="inlineStr"/>
    </row>
    <row r="5">
      <c r="A5" s="6" t="inlineStr">
        <is>
          <t>Y1 S1 - 2024/2025 Sem I (202420251) - completed</t>
        </is>
      </c>
      <c r="B5" s="6" t="inlineStr">
        <is>
          <t>SCST1143</t>
        </is>
      </c>
      <c r="C5" s="6" t="inlineStr">
        <is>
          <t>Database Engineering</t>
        </is>
      </c>
      <c r="D5" s="6" t="n">
        <v>3</v>
      </c>
      <c r="E5" s="6" t="inlineStr">
        <is>
          <t>Passed (C+)</t>
        </is>
      </c>
      <c r="F5" s="6" t="n">
        <v>3</v>
      </c>
      <c r="G5" s="6" t="inlineStr">
        <is>
          <t>T</t>
        </is>
      </c>
      <c r="H5" s="6" t="inlineStr">
        <is>
          <t>C+</t>
        </is>
      </c>
      <c r="I5" s="6" t="inlineStr">
        <is>
          <t>-</t>
        </is>
      </c>
      <c r="J5" s="6" t="inlineStr">
        <is>
          <t>Earned</t>
        </is>
      </c>
      <c r="K5" s="6" t="inlineStr">
        <is>
          <t>-</t>
        </is>
      </c>
      <c r="L5" s="6" t="inlineStr">
        <is>
          <t>P</t>
        </is>
      </c>
      <c r="M5" s="6" t="inlineStr">
        <is>
          <t>AUD</t>
        </is>
      </c>
      <c r="N5" s="6" t="inlineStr"/>
    </row>
    <row r="6">
      <c r="A6" s="6" t="inlineStr">
        <is>
          <t>Y1 S1 - 2024/2025 Sem I (202420251) - completed</t>
        </is>
      </c>
      <c r="B6" s="6" t="inlineStr">
        <is>
          <t>ULRS1032</t>
        </is>
      </c>
      <c r="C6" s="6" t="inlineStr">
        <is>
          <t>Integrity and Anti-Corruption Course</t>
        </is>
      </c>
      <c r="D6" s="6" t="n">
        <v>2</v>
      </c>
      <c r="E6" s="6" t="inlineStr">
        <is>
          <t>Passed (A+)</t>
        </is>
      </c>
      <c r="F6" s="6" t="n">
        <v>2</v>
      </c>
      <c r="G6" s="6" t="inlineStr">
        <is>
          <t>U</t>
        </is>
      </c>
      <c r="H6" s="6" t="inlineStr">
        <is>
          <t>A+</t>
        </is>
      </c>
      <c r="I6" s="6" t="inlineStr">
        <is>
          <t>-</t>
        </is>
      </c>
      <c r="J6" s="6" t="inlineStr">
        <is>
          <t>Earned</t>
        </is>
      </c>
      <c r="K6" s="6" t="inlineStr">
        <is>
          <t>-</t>
        </is>
      </c>
      <c r="L6" s="6" t="inlineStr">
        <is>
          <t>P</t>
        </is>
      </c>
      <c r="M6" s="6" t="inlineStr">
        <is>
          <t>AUD</t>
        </is>
      </c>
      <c r="N6" s="6" t="inlineStr"/>
    </row>
    <row r="7">
      <c r="A7" s="6" t="inlineStr">
        <is>
          <t>Y1 S1 - 2024/2025 Sem I (202420251) - completed</t>
        </is>
      </c>
      <c r="B7" s="6" t="inlineStr">
        <is>
          <t>UHLB1112</t>
        </is>
      </c>
      <c r="C7" s="6" t="inlineStr">
        <is>
          <t>English Communication Skills</t>
        </is>
      </c>
      <c r="D7" s="6" t="n">
        <v>2</v>
      </c>
      <c r="E7" s="6" t="inlineStr">
        <is>
          <t>Passed (HL (status HW))</t>
        </is>
      </c>
      <c r="F7" s="6" t="n">
        <v>0</v>
      </c>
      <c r="G7" s="6" t="inlineStr">
        <is>
          <t>B* (outside 128)</t>
        </is>
      </c>
      <c r="H7" s="6" t="inlineStr">
        <is>
          <t>HL (status HW)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P</t>
        </is>
      </c>
      <c r="M7" s="6" t="inlineStr">
        <is>
          <t>AUD/STR</t>
        </is>
      </c>
      <c r="N7" s="6" t="inlineStr">
        <is>
          <t>Audit lists it under B and it is inside KD 57; [STR] makes it an extra course for low English scores. Kept OUTSIDE the 128 here (conflict K1)</t>
        </is>
      </c>
    </row>
    <row r="8">
      <c r="A8" s="7" t="inlineStr">
        <is>
          <t>Y1 S1 - 2024/2025 Sem I (202420251) - completed</t>
        </is>
      </c>
      <c r="B8" s="7" t="inlineStr">
        <is>
          <t>FE I</t>
        </is>
      </c>
      <c r="C8" s="7" t="inlineStr">
        <is>
          <t>Free Elective I (slot) - never taken</t>
        </is>
      </c>
      <c r="D8" s="7" t="n">
        <v>3</v>
      </c>
      <c r="E8" s="7" t="inlineStr">
        <is>
          <t>Elective slot TBD</t>
        </is>
      </c>
      <c r="F8" s="7" t="n">
        <v>0</v>
      </c>
      <c r="G8" s="7" t="inlineStr">
        <is>
          <t>U</t>
        </is>
      </c>
      <c r="H8" s="7" t="inlineStr">
        <is>
          <t>-</t>
        </is>
      </c>
      <c r="I8" s="7" t="inlineStr">
        <is>
          <t>-</t>
        </is>
      </c>
      <c r="J8" s="7" t="inlineStr">
        <is>
          <t>-</t>
        </is>
      </c>
      <c r="K8" s="7" t="inlineStr">
        <is>
          <t>-</t>
        </is>
      </c>
      <c r="L8" s="7" t="inlineStr">
        <is>
          <t>P (gap) / A (moved)</t>
        </is>
      </c>
      <c r="M8" s="7" t="inlineStr">
        <is>
          <t>STR/AUD</t>
        </is>
      </c>
      <c r="N8" s="7" t="inlineStr">
        <is>
          <t>Category label: U-FE. Not in audit. Moved to SEM 7</t>
        </is>
      </c>
    </row>
    <row r="9">
      <c r="A9" s="6" t="inlineStr">
        <is>
          <t>Y1 S2 - 2024/2025 Sem II (202420252) - completed</t>
        </is>
      </c>
      <c r="B9" s="6" t="inlineStr">
        <is>
          <t>SCSE1203</t>
        </is>
      </c>
      <c r="C9" s="6" t="inlineStr">
        <is>
          <t>Software Engineering Principles</t>
        </is>
      </c>
      <c r="D9" s="6" t="n">
        <v>3</v>
      </c>
      <c r="E9" s="6" t="inlineStr">
        <is>
          <t>Passed (B)</t>
        </is>
      </c>
      <c r="F9" s="6" t="n">
        <v>3</v>
      </c>
      <c r="G9" s="6" t="inlineStr">
        <is>
          <t>T</t>
        </is>
      </c>
      <c r="H9" s="6" t="inlineStr">
        <is>
          <t>B</t>
        </is>
      </c>
      <c r="I9" s="6" t="inlineStr">
        <is>
          <t>SCSE1013</t>
        </is>
      </c>
      <c r="J9" s="6" t="inlineStr">
        <is>
          <t>Earned</t>
        </is>
      </c>
      <c r="K9" s="6" t="inlineStr">
        <is>
          <t>Yes (C)</t>
        </is>
      </c>
      <c r="L9" s="6" t="inlineStr">
        <is>
          <t>P</t>
        </is>
      </c>
      <c r="M9" s="6" t="inlineStr">
        <is>
          <t>AUD/STR</t>
        </is>
      </c>
      <c r="N9" s="6" t="inlineStr"/>
    </row>
    <row r="10">
      <c r="A10" s="6" t="inlineStr">
        <is>
          <t>Y1 S2 - 2024/2025 Sem II (202420252) - completed</t>
        </is>
      </c>
      <c r="B10" s="6" t="inlineStr">
        <is>
          <t>SCSE1224</t>
        </is>
      </c>
      <c r="C10" s="6" t="inlineStr">
        <is>
          <t>Advanced Programming</t>
        </is>
      </c>
      <c r="D10" s="6" t="n">
        <v>4</v>
      </c>
      <c r="E10" s="6" t="inlineStr">
        <is>
          <t>Passed (C+)</t>
        </is>
      </c>
      <c r="F10" s="6" t="n">
        <v>4</v>
      </c>
      <c r="G10" s="6" t="inlineStr">
        <is>
          <t>T</t>
        </is>
      </c>
      <c r="H10" s="6" t="inlineStr">
        <is>
          <t>C+</t>
        </is>
      </c>
      <c r="I10" s="6" t="inlineStr">
        <is>
          <t>SCSE1013</t>
        </is>
      </c>
      <c r="J10" s="6" t="inlineStr">
        <is>
          <t>Earned</t>
        </is>
      </c>
      <c r="K10" s="6" t="inlineStr">
        <is>
          <t>Yes (C)</t>
        </is>
      </c>
      <c r="L10" s="6" t="inlineStr">
        <is>
          <t>P</t>
        </is>
      </c>
      <c r="M10" s="6" t="inlineStr">
        <is>
          <t>AUD/STR</t>
        </is>
      </c>
      <c r="N10" s="6" t="inlineStr"/>
    </row>
    <row r="11">
      <c r="A11" s="6" t="inlineStr">
        <is>
          <t>Y1 S2 - 2024/2025 Sem II (202420252) - completed</t>
        </is>
      </c>
      <c r="B11" s="6" t="inlineStr">
        <is>
          <t>SCSR1033</t>
        </is>
      </c>
      <c r="C11" s="6" t="inlineStr">
        <is>
          <t>Computer Organization and Architecture</t>
        </is>
      </c>
      <c r="D11" s="6" t="n">
        <v>3</v>
      </c>
      <c r="E11" s="6" t="inlineStr">
        <is>
          <t>Passed (C+)</t>
        </is>
      </c>
      <c r="F11" s="6" t="n">
        <v>3</v>
      </c>
      <c r="G11" s="6" t="inlineStr">
        <is>
          <t>T</t>
        </is>
      </c>
      <c r="H11" s="6" t="inlineStr">
        <is>
          <t>C+</t>
        </is>
      </c>
      <c r="I11" s="6" t="inlineStr">
        <is>
          <t>SCSR1013</t>
        </is>
      </c>
      <c r="J11" s="6" t="inlineStr">
        <is>
          <t>Earned</t>
        </is>
      </c>
      <c r="K11" s="6" t="inlineStr">
        <is>
          <t>Yes (C+)</t>
        </is>
      </c>
      <c r="L11" s="6" t="inlineStr">
        <is>
          <t>P</t>
        </is>
      </c>
      <c r="M11" s="6" t="inlineStr">
        <is>
          <t>AUD/STR</t>
        </is>
      </c>
      <c r="N11" s="6" t="inlineStr"/>
    </row>
    <row r="12">
      <c r="A12" s="8" t="inlineStr">
        <is>
          <t>Y1 S2 - 2024/2025 Sem II (202420252) - completed</t>
        </is>
      </c>
      <c r="B12" s="8" t="inlineStr">
        <is>
          <t>SCSR2213</t>
        </is>
      </c>
      <c r="C12" s="8" t="inlineStr">
        <is>
          <t>Network Communications (1st attempt)</t>
        </is>
      </c>
      <c r="D12" s="8" t="n">
        <v>3</v>
      </c>
      <c r="E12" s="8" t="inlineStr">
        <is>
          <t>Failed - superseded by repeat</t>
        </is>
      </c>
      <c r="F12" s="8" t="n">
        <v>0</v>
      </c>
      <c r="G12" s="8" t="inlineStr">
        <is>
          <t>T</t>
        </is>
      </c>
      <c r="H12" s="8" t="inlineStr">
        <is>
          <t>D (G)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-</t>
        </is>
      </c>
      <c r="L12" s="8" t="inlineStr">
        <is>
          <t>P</t>
        </is>
      </c>
      <c r="M12" s="8" t="inlineStr">
        <is>
          <t>AUD</t>
        </is>
      </c>
      <c r="N12" s="8" t="inlineStr">
        <is>
          <t>Repeated 2025/26-II -&gt; B-</t>
        </is>
      </c>
    </row>
    <row r="13">
      <c r="A13" s="8" t="inlineStr">
        <is>
          <t>Y1 S2 - 2024/2025 Sem II (202420252) - completed</t>
        </is>
      </c>
      <c r="B13" s="8" t="inlineStr">
        <is>
          <t>SCST1223</t>
        </is>
      </c>
      <c r="C13" s="8" t="inlineStr">
        <is>
          <t>Probability and Statistical Data Analysis (1st attempt)</t>
        </is>
      </c>
      <c r="D13" s="8" t="n">
        <v>3</v>
      </c>
      <c r="E13" s="8" t="inlineStr">
        <is>
          <t>Failed - superseded by repeat</t>
        </is>
      </c>
      <c r="F13" s="8" t="n">
        <v>0</v>
      </c>
      <c r="G13" s="8" t="inlineStr">
        <is>
          <t>T</t>
        </is>
      </c>
      <c r="H13" s="8" t="inlineStr">
        <is>
          <t>D (G)</t>
        </is>
      </c>
      <c r="I13" s="8" t="inlineStr">
        <is>
          <t>-</t>
        </is>
      </c>
      <c r="J13" s="8" t="inlineStr">
        <is>
          <t>-</t>
        </is>
      </c>
      <c r="K13" s="8" t="inlineStr">
        <is>
          <t>-</t>
        </is>
      </c>
      <c r="L13" s="8" t="inlineStr">
        <is>
          <t>P</t>
        </is>
      </c>
      <c r="M13" s="8" t="inlineStr">
        <is>
          <t>AUD</t>
        </is>
      </c>
      <c r="N13" s="8" t="inlineStr">
        <is>
          <t>Repeated 2025/26-II -&gt; C-</t>
        </is>
      </c>
    </row>
    <row r="14">
      <c r="A14" s="6" t="inlineStr">
        <is>
          <t>Y1 S2 - 2024/2025 Sem II (202420252) - completed</t>
        </is>
      </c>
      <c r="B14" s="6" t="inlineStr">
        <is>
          <t>UHLM1012</t>
        </is>
      </c>
      <c r="C14" s="6" t="inlineStr">
        <is>
          <t>Malay Language for Communication 2</t>
        </is>
      </c>
      <c r="D14" s="6" t="n">
        <v>2</v>
      </c>
      <c r="E14" s="6" t="inlineStr">
        <is>
          <t>Passed (A-)</t>
        </is>
      </c>
      <c r="F14" s="6" t="n">
        <v>2</v>
      </c>
      <c r="G14" s="6" t="inlineStr">
        <is>
          <t>U</t>
        </is>
      </c>
      <c r="H14" s="6" t="inlineStr">
        <is>
          <t>A-</t>
        </is>
      </c>
      <c r="I14" s="6" t="inlineStr">
        <is>
          <t>-</t>
        </is>
      </c>
      <c r="J14" s="6" t="inlineStr">
        <is>
          <t>Earned</t>
        </is>
      </c>
      <c r="K14" s="6" t="inlineStr">
        <is>
          <t>-</t>
        </is>
      </c>
      <c r="L14" s="6" t="inlineStr">
        <is>
          <t>P</t>
        </is>
      </c>
      <c r="M14" s="6" t="inlineStr">
        <is>
          <t>AUD</t>
        </is>
      </c>
      <c r="N14" s="6" t="inlineStr">
        <is>
          <t>International-student version of ULRS1182</t>
        </is>
      </c>
    </row>
    <row r="15">
      <c r="A15" s="6" t="inlineStr">
        <is>
          <t>Y2 S1 - 2025/2026 Sem I (202520261) - completed</t>
        </is>
      </c>
      <c r="B15" s="6" t="inlineStr">
        <is>
          <t>SCSE2103</t>
        </is>
      </c>
      <c r="C15" s="6" t="inlineStr">
        <is>
          <t>Data Structure and Algorithm</t>
        </is>
      </c>
      <c r="D15" s="6" t="n">
        <v>3</v>
      </c>
      <c r="E15" s="6" t="inlineStr">
        <is>
          <t>Passed (B)</t>
        </is>
      </c>
      <c r="F15" s="6" t="n">
        <v>3</v>
      </c>
      <c r="G15" s="6" t="inlineStr">
        <is>
          <t>T</t>
        </is>
      </c>
      <c r="H15" s="6" t="inlineStr">
        <is>
          <t>B</t>
        </is>
      </c>
      <c r="I15" s="6" t="inlineStr">
        <is>
          <t>SCSE1013</t>
        </is>
      </c>
      <c r="J15" s="6" t="inlineStr">
        <is>
          <t>Earned</t>
        </is>
      </c>
      <c r="K15" s="6" t="inlineStr">
        <is>
          <t>Yes</t>
        </is>
      </c>
      <c r="L15" s="6" t="inlineStr">
        <is>
          <t>P</t>
        </is>
      </c>
      <c r="M15" s="6" t="inlineStr">
        <is>
          <t>AUD/STR</t>
        </is>
      </c>
      <c r="N15" s="6" t="inlineStr"/>
    </row>
    <row r="16">
      <c r="A16" s="6" t="inlineStr">
        <is>
          <t>Y2 S1 - 2025/2026 Sem I (202520261) - completed</t>
        </is>
      </c>
      <c r="B16" s="6" t="inlineStr">
        <is>
          <t>SCSE2123</t>
        </is>
      </c>
      <c r="C16" s="6" t="inlineStr">
        <is>
          <t>Software Requirements Engineering</t>
        </is>
      </c>
      <c r="D16" s="6" t="n">
        <v>3</v>
      </c>
      <c r="E16" s="6" t="inlineStr">
        <is>
          <t>Passed (C+)</t>
        </is>
      </c>
      <c r="F16" s="6" t="n">
        <v>3</v>
      </c>
      <c r="G16" s="6" t="inlineStr">
        <is>
          <t>T</t>
        </is>
      </c>
      <c r="H16" s="6" t="inlineStr">
        <is>
          <t>C+</t>
        </is>
      </c>
      <c r="I16" s="6" t="inlineStr">
        <is>
          <t>SCSE1203</t>
        </is>
      </c>
      <c r="J16" s="6" t="inlineStr">
        <is>
          <t>Earned</t>
        </is>
      </c>
      <c r="K16" s="6" t="inlineStr">
        <is>
          <t>Yes</t>
        </is>
      </c>
      <c r="L16" s="6" t="inlineStr">
        <is>
          <t>P</t>
        </is>
      </c>
      <c r="M16" s="6" t="inlineStr">
        <is>
          <t>AUD/STR</t>
        </is>
      </c>
      <c r="N16" s="6" t="inlineStr"/>
    </row>
    <row r="17">
      <c r="A17" s="6" t="inlineStr">
        <is>
          <t>Y2 S1 - 2025/2026 Sem I (202520261) - completed</t>
        </is>
      </c>
      <c r="B17" s="6" t="inlineStr">
        <is>
          <t>SCSE2133</t>
        </is>
      </c>
      <c r="C17" s="6" t="inlineStr">
        <is>
          <t>Software Process and Project Management</t>
        </is>
      </c>
      <c r="D17" s="6" t="n">
        <v>3</v>
      </c>
      <c r="E17" s="6" t="inlineStr">
        <is>
          <t>Passed (B-)</t>
        </is>
      </c>
      <c r="F17" s="6" t="n">
        <v>3</v>
      </c>
      <c r="G17" s="6" t="inlineStr">
        <is>
          <t>T</t>
        </is>
      </c>
      <c r="H17" s="6" t="inlineStr">
        <is>
          <t>B-</t>
        </is>
      </c>
      <c r="I17" s="6" t="inlineStr">
        <is>
          <t>SCSE1203</t>
        </is>
      </c>
      <c r="J17" s="6" t="inlineStr">
        <is>
          <t>Earned</t>
        </is>
      </c>
      <c r="K17" s="6" t="inlineStr">
        <is>
          <t>Yes</t>
        </is>
      </c>
      <c r="L17" s="6" t="inlineStr">
        <is>
          <t>P</t>
        </is>
      </c>
      <c r="M17" s="6" t="inlineStr">
        <is>
          <t>AUD/STR</t>
        </is>
      </c>
      <c r="N17" s="6" t="inlineStr"/>
    </row>
    <row r="18">
      <c r="A18" s="6" t="inlineStr">
        <is>
          <t>Y2 S1 - 2025/2026 Sem I (202520261) - completed</t>
        </is>
      </c>
      <c r="B18" s="6" t="inlineStr">
        <is>
          <t>SCSM2113</t>
        </is>
      </c>
      <c r="C18" s="6" t="inlineStr">
        <is>
          <t>Human Computer Interaction Fundamentals</t>
        </is>
      </c>
      <c r="D18" s="6" t="n">
        <v>3</v>
      </c>
      <c r="E18" s="6" t="inlineStr">
        <is>
          <t>Passed (B-)</t>
        </is>
      </c>
      <c r="F18" s="6" t="n">
        <v>3</v>
      </c>
      <c r="G18" s="6" t="inlineStr">
        <is>
          <t>T</t>
        </is>
      </c>
      <c r="H18" s="6" t="inlineStr">
        <is>
          <t>B-</t>
        </is>
      </c>
      <c r="I18" s="6" t="inlineStr">
        <is>
          <t>SCSE1203</t>
        </is>
      </c>
      <c r="J18" s="6" t="inlineStr">
        <is>
          <t>Earned</t>
        </is>
      </c>
      <c r="K18" s="6" t="inlineStr">
        <is>
          <t>Yes</t>
        </is>
      </c>
      <c r="L18" s="6" t="inlineStr">
        <is>
          <t>P</t>
        </is>
      </c>
      <c r="M18" s="6" t="inlineStr">
        <is>
          <t>AUD/STR</t>
        </is>
      </c>
      <c r="N18" s="6" t="inlineStr"/>
    </row>
    <row r="19">
      <c r="A19" s="6" t="inlineStr">
        <is>
          <t>Y2 S1 - 2025/2026 Sem I (202520261) - completed</t>
        </is>
      </c>
      <c r="B19" s="6" t="inlineStr">
        <is>
          <t>SCSR2043</t>
        </is>
      </c>
      <c r="C19" s="6" t="inlineStr">
        <is>
          <t>Operating Systems</t>
        </is>
      </c>
      <c r="D19" s="6" t="n">
        <v>3</v>
      </c>
      <c r="E19" s="6" t="inlineStr">
        <is>
          <t>Passed (A-)</t>
        </is>
      </c>
      <c r="F19" s="6" t="n">
        <v>3</v>
      </c>
      <c r="G19" s="6" t="inlineStr">
        <is>
          <t>T</t>
        </is>
      </c>
      <c r="H19" s="6" t="inlineStr">
        <is>
          <t>A-</t>
        </is>
      </c>
      <c r="I19" s="6" t="inlineStr">
        <is>
          <t>-</t>
        </is>
      </c>
      <c r="J19" s="6" t="inlineStr">
        <is>
          <t>Earned</t>
        </is>
      </c>
      <c r="K19" s="6" t="inlineStr">
        <is>
          <t>-</t>
        </is>
      </c>
      <c r="L19" s="6" t="inlineStr">
        <is>
          <t>P</t>
        </is>
      </c>
      <c r="M19" s="6" t="inlineStr">
        <is>
          <t>AUD</t>
        </is>
      </c>
      <c r="N19" s="6" t="inlineStr"/>
    </row>
    <row r="20">
      <c r="A20" s="6" t="inlineStr">
        <is>
          <t>Y2 S1 - 2025/2026 Sem I (202520261) - completed</t>
        </is>
      </c>
      <c r="B20" s="6" t="inlineStr">
        <is>
          <t>ULRF2622</t>
        </is>
      </c>
      <c r="C20" s="6" t="inlineStr">
        <is>
          <t>Football (Service Learning &amp; Community Engagement slot ULRF2xx2)</t>
        </is>
      </c>
      <c r="D20" s="6" t="n">
        <v>2</v>
      </c>
      <c r="E20" s="6" t="inlineStr">
        <is>
          <t>Passed (A)</t>
        </is>
      </c>
      <c r="F20" s="6" t="n">
        <v>2</v>
      </c>
      <c r="G20" s="6" t="inlineStr">
        <is>
          <t>K</t>
        </is>
      </c>
      <c r="H20" s="6" t="inlineStr">
        <is>
          <t>A</t>
        </is>
      </c>
      <c r="I20" s="6" t="inlineStr">
        <is>
          <t>-</t>
        </is>
      </c>
      <c r="J20" s="6" t="inlineStr">
        <is>
          <t>Earned</t>
        </is>
      </c>
      <c r="K20" s="6" t="inlineStr">
        <is>
          <t>-</t>
        </is>
      </c>
      <c r="L20" s="6" t="inlineStr">
        <is>
          <t>P</t>
        </is>
      </c>
      <c r="M20" s="6" t="inlineStr">
        <is>
          <t>AUD/STR</t>
        </is>
      </c>
      <c r="N20" s="6" t="inlineStr"/>
    </row>
    <row r="21">
      <c r="A21" s="6" t="inlineStr">
        <is>
          <t>Y2 S2 - 2025/2026 Sem II (202520262) - completed (GPA 2.22, CGPA 2.55)</t>
        </is>
      </c>
      <c r="B21" s="6" t="inlineStr">
        <is>
          <t>SCSE2243</t>
        </is>
      </c>
      <c r="C21" s="6" t="inlineStr">
        <is>
          <t>Application Development Project I</t>
        </is>
      </c>
      <c r="D21" s="6" t="n">
        <v>3</v>
      </c>
      <c r="E21" s="6" t="inlineStr">
        <is>
          <t>Passed (A)</t>
        </is>
      </c>
      <c r="F21" s="6" t="n">
        <v>3</v>
      </c>
      <c r="G21" s="6" t="inlineStr">
        <is>
          <t>T</t>
        </is>
      </c>
      <c r="H21" s="6" t="inlineStr">
        <is>
          <t>A</t>
        </is>
      </c>
      <c r="I21" s="6" t="inlineStr">
        <is>
          <t>SCSE1203, SCSE2123</t>
        </is>
      </c>
      <c r="J21" s="6" t="inlineStr">
        <is>
          <t>Earned</t>
        </is>
      </c>
      <c r="K21" s="6" t="inlineStr">
        <is>
          <t>Yes</t>
        </is>
      </c>
      <c r="L21" s="6" t="inlineStr">
        <is>
          <t>P</t>
        </is>
      </c>
      <c r="M21" s="6" t="inlineStr">
        <is>
          <t>RES/AUD</t>
        </is>
      </c>
      <c r="N21" s="6" t="inlineStr"/>
    </row>
    <row r="22">
      <c r="A22" s="6" t="inlineStr">
        <is>
          <t>Y2 S2 - 2025/2026 Sem II (202520262) - completed (GPA 2.22, CGPA 2.55)</t>
        </is>
      </c>
      <c r="B22" s="6" t="inlineStr">
        <is>
          <t>SCSM2223</t>
        </is>
      </c>
      <c r="C22" s="6" t="inlineStr">
        <is>
          <t>Cross-Platform Application Development</t>
        </is>
      </c>
      <c r="D22" s="6" t="n">
        <v>3</v>
      </c>
      <c r="E22" s="6" t="inlineStr">
        <is>
          <t>Passed (B)</t>
        </is>
      </c>
      <c r="F22" s="6" t="n">
        <v>3</v>
      </c>
      <c r="G22" s="6" t="inlineStr">
        <is>
          <t>T</t>
        </is>
      </c>
      <c r="H22" s="6" t="inlineStr">
        <is>
          <t>B</t>
        </is>
      </c>
      <c r="I22" s="6" t="inlineStr">
        <is>
          <t>SCST1143</t>
        </is>
      </c>
      <c r="J22" s="6" t="inlineStr">
        <is>
          <t>Earned</t>
        </is>
      </c>
      <c r="K22" s="6" t="inlineStr">
        <is>
          <t>Yes</t>
        </is>
      </c>
      <c r="L22" s="6" t="inlineStr">
        <is>
          <t>P</t>
        </is>
      </c>
      <c r="M22" s="6" t="inlineStr">
        <is>
          <t>RES/AUD</t>
        </is>
      </c>
      <c r="N22" s="6" t="inlineStr"/>
    </row>
    <row r="23">
      <c r="A23" s="6" t="inlineStr">
        <is>
          <t>Y2 S2 - 2025/2026 Sem II (202520262) - completed (GPA 2.22, CGPA 2.55)</t>
        </is>
      </c>
      <c r="B23" s="6" t="inlineStr">
        <is>
          <t>SCSR2213</t>
        </is>
      </c>
      <c r="C23" s="6" t="inlineStr">
        <is>
          <t>Network Communications (repeat, UK)</t>
        </is>
      </c>
      <c r="D23" s="6" t="n">
        <v>3</v>
      </c>
      <c r="E23" s="6" t="inlineStr">
        <is>
          <t>Passed (B-)</t>
        </is>
      </c>
      <c r="F23" s="6" t="n">
        <v>3</v>
      </c>
      <c r="G23" s="6" t="inlineStr">
        <is>
          <t>T</t>
        </is>
      </c>
      <c r="H23" s="6" t="inlineStr">
        <is>
          <t>B-</t>
        </is>
      </c>
      <c r="I23" s="6" t="inlineStr">
        <is>
          <t>-</t>
        </is>
      </c>
      <c r="J23" s="6" t="inlineStr">
        <is>
          <t>Earned</t>
        </is>
      </c>
      <c r="K23" s="6" t="inlineStr">
        <is>
          <t>-</t>
        </is>
      </c>
      <c r="L23" s="6" t="inlineStr">
        <is>
          <t>P</t>
        </is>
      </c>
      <c r="M23" s="6" t="inlineStr">
        <is>
          <t>RES/AUD</t>
        </is>
      </c>
      <c r="N23" s="6" t="inlineStr"/>
    </row>
    <row r="24">
      <c r="A24" s="6" t="inlineStr">
        <is>
          <t>Y2 S2 - 2025/2026 Sem II (202520262) - completed (GPA 2.22, CGPA 2.55)</t>
        </is>
      </c>
      <c r="B24" s="6" t="inlineStr">
        <is>
          <t>SCST1223</t>
        </is>
      </c>
      <c r="C24" s="6" t="inlineStr">
        <is>
          <t>Probability and Statistical Data Analysis (repeat, UK)</t>
        </is>
      </c>
      <c r="D24" s="6" t="n">
        <v>3</v>
      </c>
      <c r="E24" s="6" t="inlineStr">
        <is>
          <t>Passed (C-)</t>
        </is>
      </c>
      <c r="F24" s="6" t="n">
        <v>3</v>
      </c>
      <c r="G24" s="6" t="inlineStr">
        <is>
          <t>T</t>
        </is>
      </c>
      <c r="H24" s="6" t="inlineStr">
        <is>
          <t>C-</t>
        </is>
      </c>
      <c r="I24" s="6" t="inlineStr">
        <is>
          <t>-</t>
        </is>
      </c>
      <c r="J24" s="6" t="inlineStr">
        <is>
          <t>Earned</t>
        </is>
      </c>
      <c r="K24" s="6" t="inlineStr">
        <is>
          <t>-</t>
        </is>
      </c>
      <c r="L24" s="6" t="inlineStr">
        <is>
          <t>P</t>
        </is>
      </c>
      <c r="M24" s="6" t="inlineStr">
        <is>
          <t>RES/AUD</t>
        </is>
      </c>
      <c r="N24" s="6" t="inlineStr"/>
    </row>
    <row r="25">
      <c r="A25" s="9" t="inlineStr">
        <is>
          <t>Y2 S2 - 2025/2026 Sem II (202520262) - completed (GPA 2.22, CGPA 2.55)</t>
        </is>
      </c>
      <c r="B25" s="9" t="inlineStr">
        <is>
          <t>SCSE2233</t>
        </is>
      </c>
      <c r="C25" s="9" t="inlineStr">
        <is>
          <t>Software Design and Architecture</t>
        </is>
      </c>
      <c r="D25" s="9" t="n">
        <v>3</v>
      </c>
      <c r="E25" s="9" t="inlineStr">
        <is>
          <t>Repeat needed</t>
        </is>
      </c>
      <c r="F25" s="9" t="n">
        <v>0</v>
      </c>
      <c r="G25" s="9" t="inlineStr">
        <is>
          <t>T</t>
        </is>
      </c>
      <c r="H25" s="9" t="inlineStr">
        <is>
          <t>D (G, UM)</t>
        </is>
      </c>
      <c r="I25" s="9" t="inlineStr">
        <is>
          <t>SCSE1203</t>
        </is>
      </c>
      <c r="J25" s="9" t="inlineStr">
        <is>
          <t>-</t>
        </is>
      </c>
      <c r="K25" s="9" t="inlineStr">
        <is>
          <t>Yes</t>
        </is>
      </c>
      <c r="L25" s="9" t="inlineStr">
        <is>
          <t>P</t>
        </is>
      </c>
      <c r="M25" s="9" t="inlineStr">
        <is>
          <t>RES/AUD</t>
        </is>
      </c>
      <c r="N25" s="9" t="inlineStr">
        <is>
          <t>Not earned. Repeat planned in SEM 6</t>
        </is>
      </c>
    </row>
    <row r="26">
      <c r="A26" s="9" t="inlineStr">
        <is>
          <t>Y2 S2 - 2025/2026 Sem II (202520262) - completed (GPA 2.22, CGPA 2.55)</t>
        </is>
      </c>
      <c r="B26" s="9" t="inlineStr">
        <is>
          <t>SCSP3213</t>
        </is>
      </c>
      <c r="C26" s="9" t="inlineStr">
        <is>
          <t>Business Intelligence (Y2S2 programme elective)</t>
        </is>
      </c>
      <c r="D26" s="9" t="n">
        <v>3</v>
      </c>
      <c r="E26" s="9" t="inlineStr">
        <is>
          <t>Repeat needed</t>
        </is>
      </c>
      <c r="F26" s="9" t="n">
        <v>0</v>
      </c>
      <c r="G26" s="9" t="inlineStr">
        <is>
          <t>E</t>
        </is>
      </c>
      <c r="H26" s="9" t="inlineStr">
        <is>
          <t>D (G, UM)</t>
        </is>
      </c>
      <c r="I26" s="9" t="inlineStr">
        <is>
          <t>-</t>
        </is>
      </c>
      <c r="J26" s="9" t="inlineStr">
        <is>
          <t>-</t>
        </is>
      </c>
      <c r="K26" s="9" t="inlineStr">
        <is>
          <t>-</t>
        </is>
      </c>
      <c r="L26" s="9" t="inlineStr">
        <is>
          <t>P</t>
        </is>
      </c>
      <c r="M26" s="9" t="inlineStr">
        <is>
          <t>RES/AUD</t>
        </is>
      </c>
      <c r="N26" s="9" t="inlineStr">
        <is>
          <t>Not earned. Repeat planned in SEM 6</t>
        </is>
      </c>
    </row>
    <row r="27">
      <c r="A27" s="10" t="inlineStr">
        <is>
          <t>Y2 S2 - 2025/2026 Sem II (202520262) - completed (GPA 2.22, CGPA 2.55)</t>
        </is>
      </c>
      <c r="B27" s="10" t="inlineStr">
        <is>
          <t>UHLB2122</t>
        </is>
      </c>
      <c r="C27" s="10" t="inlineStr">
        <is>
          <t>Professional Communication Skills 1 (Y2S2 in [STR])</t>
        </is>
      </c>
      <c r="D27" s="10" t="n">
        <v>2</v>
      </c>
      <c r="E27" s="10" t="inlineStr">
        <is>
          <t>Not yet taken</t>
        </is>
      </c>
      <c r="F27" s="10" t="n">
        <v>0</v>
      </c>
      <c r="G27" s="10" t="inlineStr">
        <is>
          <t>B</t>
        </is>
      </c>
      <c r="H27" s="10" t="inlineStr">
        <is>
          <t>-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P</t>
        </is>
      </c>
      <c r="M27" s="10" t="inlineStr">
        <is>
          <t>STR</t>
        </is>
      </c>
      <c r="N27" s="10" t="inlineStr">
        <is>
          <t>Moved to SEM 5 as 'to add'</t>
        </is>
      </c>
    </row>
    <row r="28">
      <c r="A28" s="10" t="inlineStr">
        <is>
          <t>Y2 S2 - 2025/2026 Sem II (202520262) - completed (GPA 2.22, CGPA 2.55)</t>
        </is>
      </c>
      <c r="B28" s="10" t="inlineStr">
        <is>
          <t>ULRS1022</t>
        </is>
      </c>
      <c r="C28" s="10" t="inlineStr">
        <is>
          <t>Philosophy and Current Issues (Y2S2 in [STR])</t>
        </is>
      </c>
      <c r="D28" s="10" t="n">
        <v>2</v>
      </c>
      <c r="E28" s="10" t="inlineStr">
        <is>
          <t>Not yet taken</t>
        </is>
      </c>
      <c r="F28" s="10" t="n">
        <v>0</v>
      </c>
      <c r="G28" s="10" t="inlineStr">
        <is>
          <t>U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P</t>
        </is>
      </c>
      <c r="M28" s="10" t="inlineStr">
        <is>
          <t>STR/AUD</t>
        </is>
      </c>
      <c r="N28" s="10" t="inlineStr">
        <is>
          <t>Not in audit. Moved to SEM 7</t>
        </is>
      </c>
    </row>
    <row r="29">
      <c r="A29" s="11" t="inlineStr">
        <is>
          <t>SEM 5 - Y3 S1 - 2026/2027 Sem I (202620271) - CURRENT: 12 Oct 2026 - 21 Mar 2027</t>
        </is>
      </c>
      <c r="B29" s="11" t="inlineStr">
        <is>
          <t>SCSE3103</t>
        </is>
      </c>
      <c r="C29" s="11" t="inlineStr">
        <is>
          <t>Cognitive Computing</t>
        </is>
      </c>
      <c r="D29" s="11" t="n">
        <v>3</v>
      </c>
      <c r="E29" s="11" t="inlineStr">
        <is>
          <t>Registered (slip)</t>
        </is>
      </c>
      <c r="F29" s="11" t="n">
        <v>3</v>
      </c>
      <c r="G29" s="11" t="inlineStr">
        <is>
          <t>E</t>
        </is>
      </c>
      <c r="H29" s="11" t="inlineStr">
        <is>
          <t>sec 05</t>
        </is>
      </c>
      <c r="I29" s="11" t="inlineStr">
        <is>
          <t>-</t>
        </is>
      </c>
      <c r="J29" s="11" t="inlineStr">
        <is>
          <t>Registered</t>
        </is>
      </c>
      <c r="K29" s="11" t="inlineStr">
        <is>
          <t>-</t>
        </is>
      </c>
      <c r="L29" s="11" t="inlineStr">
        <is>
          <t>P</t>
        </is>
      </c>
      <c r="M29" s="11" t="inlineStr">
        <is>
          <t>SLIP/AUD</t>
        </is>
      </c>
      <c r="N29" s="11" t="inlineStr"/>
    </row>
    <row r="30">
      <c r="A30" s="11" t="inlineStr">
        <is>
          <t>SEM 5 - Y3 S1 - 2026/2027 Sem I (202620271) - CURRENT: 12 Oct 2026 - 21 Mar 2027</t>
        </is>
      </c>
      <c r="B30" s="11" t="inlineStr">
        <is>
          <t>SCSE3143</t>
        </is>
      </c>
      <c r="C30" s="11" t="inlineStr">
        <is>
          <t>Ubiquitous Computing</t>
        </is>
      </c>
      <c r="D30" s="11" t="n">
        <v>3</v>
      </c>
      <c r="E30" s="11" t="inlineStr">
        <is>
          <t>Registered (slip)</t>
        </is>
      </c>
      <c r="F30" s="11" t="n">
        <v>3</v>
      </c>
      <c r="G30" s="11" t="inlineStr">
        <is>
          <t>E</t>
        </is>
      </c>
      <c r="H30" s="11" t="inlineStr">
        <is>
          <t>sec 05</t>
        </is>
      </c>
      <c r="I30" s="11" t="inlineStr">
        <is>
          <t>-</t>
        </is>
      </c>
      <c r="J30" s="11" t="inlineStr">
        <is>
          <t>Registered</t>
        </is>
      </c>
      <c r="K30" s="11" t="inlineStr">
        <is>
          <t>-</t>
        </is>
      </c>
      <c r="L30" s="11" t="inlineStr">
        <is>
          <t>P</t>
        </is>
      </c>
      <c r="M30" s="11" t="inlineStr">
        <is>
          <t>SLIP/AUD</t>
        </is>
      </c>
      <c r="N30" s="11" t="inlineStr"/>
    </row>
    <row r="31">
      <c r="A31" s="11" t="inlineStr">
        <is>
          <t>SEM 5 - Y3 S1 - 2026/2027 Sem I (202620271) - CURRENT: 12 Oct 2026 - 21 Mar 2027</t>
        </is>
      </c>
      <c r="B31" s="11" t="inlineStr">
        <is>
          <t>SCSE3203</t>
        </is>
      </c>
      <c r="C31" s="11" t="inlineStr">
        <is>
          <t>Special Topics</t>
        </is>
      </c>
      <c r="D31" s="11" t="n">
        <v>3</v>
      </c>
      <c r="E31" s="11" t="inlineStr">
        <is>
          <t>Registered (slip)</t>
        </is>
      </c>
      <c r="F31" s="11" t="n">
        <v>3</v>
      </c>
      <c r="G31" s="11" t="inlineStr">
        <is>
          <t>E</t>
        </is>
      </c>
      <c r="H31" s="11" t="inlineStr">
        <is>
          <t>sec 15</t>
        </is>
      </c>
      <c r="I31" s="11" t="inlineStr">
        <is>
          <t>-</t>
        </is>
      </c>
      <c r="J31" s="11" t="inlineStr">
        <is>
          <t>Registered</t>
        </is>
      </c>
      <c r="K31" s="11" t="inlineStr">
        <is>
          <t>-</t>
        </is>
      </c>
      <c r="L31" s="11" t="inlineStr">
        <is>
          <t>P</t>
        </is>
      </c>
      <c r="M31" s="11" t="inlineStr">
        <is>
          <t>SLIP/AUD</t>
        </is>
      </c>
      <c r="N31" s="11" t="inlineStr">
        <is>
          <t>Time/room still unknown</t>
        </is>
      </c>
    </row>
    <row r="32">
      <c r="A32" s="11" t="inlineStr">
        <is>
          <t>SEM 5 - Y3 S1 - 2026/2027 Sem I (202620271) - CURRENT: 12 Oct 2026 - 21 Mar 2027</t>
        </is>
      </c>
      <c r="B32" s="11" t="inlineStr">
        <is>
          <t>SFMX1063</t>
        </is>
      </c>
      <c r="C32" s="11" t="inlineStr">
        <is>
          <t>Information Technology in Business (fills Free Elective II slot)</t>
        </is>
      </c>
      <c r="D32" s="11" t="n">
        <v>3</v>
      </c>
      <c r="E32" s="11" t="inlineStr">
        <is>
          <t>Registered (slip)</t>
        </is>
      </c>
      <c r="F32" s="11" t="n">
        <v>3</v>
      </c>
      <c r="G32" s="11" t="inlineStr">
        <is>
          <t>U</t>
        </is>
      </c>
      <c r="H32" s="11" t="inlineStr">
        <is>
          <t>sec 02, FC, NFE</t>
        </is>
      </c>
      <c r="I32" s="11" t="inlineStr">
        <is>
          <t>-</t>
        </is>
      </c>
      <c r="J32" s="11" t="inlineStr">
        <is>
          <t>Registered</t>
        </is>
      </c>
      <c r="K32" s="11" t="inlineStr">
        <is>
          <t>-</t>
        </is>
      </c>
      <c r="L32" s="11" t="inlineStr">
        <is>
          <t>P</t>
        </is>
      </c>
      <c r="M32" s="11" t="inlineStr">
        <is>
          <t>SLIP/AUD</t>
        </is>
      </c>
      <c r="N32" s="11" t="inlineStr">
        <is>
          <t>Category label: U-FE. Audit lists it under U (Umum Universiti). It IS the FE II slot - no extra FE II row</t>
        </is>
      </c>
    </row>
    <row r="33">
      <c r="A33" s="12" t="inlineStr">
        <is>
          <t>SEM 5 - Y3 S1 - 2026/2027 Sem I (202620271) - CURRENT: 12 Oct 2026 - 21 Mar 2027</t>
        </is>
      </c>
      <c r="B33" s="12" t="inlineStr">
        <is>
          <t>UHLB2122</t>
        </is>
      </c>
      <c r="C33" s="12" t="inlineStr">
        <is>
          <t>Professional Communication Skills 1</t>
        </is>
      </c>
      <c r="D33" s="12" t="n">
        <v>2</v>
      </c>
      <c r="E33" s="12" t="inlineStr">
        <is>
          <t>To add (planned, unconfirmed)</t>
        </is>
      </c>
      <c r="F33" s="12" t="n">
        <v>2</v>
      </c>
      <c r="G33" s="12" t="inlineStr">
        <is>
          <t>B</t>
        </is>
      </c>
      <c r="H33" s="12" t="inlineStr">
        <is>
          <t>add 15 Oct</t>
        </is>
      </c>
      <c r="I33" s="12" t="inlineStr">
        <is>
          <t>-</t>
        </is>
      </c>
      <c r="J33" s="12" t="inlineStr">
        <is>
          <t>To add</t>
        </is>
      </c>
      <c r="K33" s="12" t="inlineStr">
        <is>
          <t>-</t>
        </is>
      </c>
      <c r="L33" s="12" t="inlineStr">
        <is>
          <t>A</t>
        </is>
      </c>
      <c r="M33" s="12" t="inlineStr">
        <is>
          <t>MOH/OLD</t>
        </is>
      </c>
      <c r="N33" s="12" t="inlineStr">
        <is>
          <t>Not on slip of 04 Oct; date not in official sources</t>
        </is>
      </c>
    </row>
    <row r="34">
      <c r="A34" s="12" t="inlineStr">
        <is>
          <t>SEM 5 - Y3 S1 - 2026/2027 Sem I (202620271) - CURRENT: 12 Oct 2026 - 21 Mar 2027</t>
        </is>
      </c>
      <c r="B34" s="12" t="inlineStr">
        <is>
          <t>UHLB3132</t>
        </is>
      </c>
      <c r="C34" s="12" t="inlineStr">
        <is>
          <t>Professional Communication Skills (2)</t>
        </is>
      </c>
      <c r="D34" s="12" t="n">
        <v>2</v>
      </c>
      <c r="E34" s="12" t="inlineStr">
        <is>
          <t>To add (planned, unconfirmed)</t>
        </is>
      </c>
      <c r="F34" s="12" t="n">
        <v>2</v>
      </c>
      <c r="G34" s="12" t="inlineStr">
        <is>
          <t>B</t>
        </is>
      </c>
      <c r="H34" s="12" t="inlineStr">
        <is>
          <t>add 15 Oct</t>
        </is>
      </c>
      <c r="I34" s="12" t="inlineStr">
        <is>
          <t>none listed in [STR]</t>
        </is>
      </c>
      <c r="J34" s="12" t="inlineStr">
        <is>
          <t>To add</t>
        </is>
      </c>
      <c r="K34" s="12" t="inlineStr">
        <is>
          <t>Yes (none listed)</t>
        </is>
      </c>
      <c r="L34" s="12" t="inlineStr">
        <is>
          <t>A</t>
        </is>
      </c>
      <c r="M34" s="12" t="inlineStr">
        <is>
          <t>MOH/OLD/STR</t>
        </is>
      </c>
      <c r="N34" s="12" t="inlineStr">
        <is>
          <t>Not on slip; check if UHLB2122 must come first</t>
        </is>
      </c>
    </row>
    <row r="35">
      <c r="A35" s="12" t="inlineStr">
        <is>
          <t>SEM 5 - Y3 S1 - 2026/2027 Sem I (202620271) - CURRENT: 12 Oct 2026 - 21 Mar 2027</t>
        </is>
      </c>
      <c r="B35" s="12" t="inlineStr">
        <is>
          <t>UHLF1112</t>
        </is>
      </c>
      <c r="C35" s="12" t="inlineStr">
        <is>
          <t>French Language (French 1) - foreign language elective</t>
        </is>
      </c>
      <c r="D35" s="12" t="n">
        <v>2</v>
      </c>
      <c r="E35" s="12" t="inlineStr">
        <is>
          <t>To add (planned, unconfirmed)</t>
        </is>
      </c>
      <c r="F35" s="12" t="n">
        <v>2</v>
      </c>
      <c r="G35" s="12" t="inlineStr">
        <is>
          <t>B</t>
        </is>
      </c>
      <c r="H35" s="12" t="inlineStr">
        <is>
          <t>sec 13 Wed 9-11am</t>
        </is>
      </c>
      <c r="I35" s="12" t="inlineStr">
        <is>
          <t>-</t>
        </is>
      </c>
      <c r="J35" s="12" t="inlineStr">
        <is>
          <t>To add</t>
        </is>
      </c>
      <c r="K35" s="12" t="inlineStr">
        <is>
          <t>-</t>
        </is>
      </c>
      <c r="L35" s="12" t="inlineStr">
        <is>
          <t>A (status) / P (section)</t>
        </is>
      </c>
      <c r="M35" s="12" t="inlineStr">
        <is>
          <t>FL/MOH</t>
        </is>
      </c>
      <c r="N35" s="12" t="inlineStr">
        <is>
          <t>Late reg. by 14 Oct (not in official sources). See K1 before adding</t>
        </is>
      </c>
    </row>
    <row r="36">
      <c r="A36" s="9" t="inlineStr">
        <is>
          <t>SEM 6 - Y3 S2 - 2026/2027 Sem II: 22 Mar - 3 Oct 2027 (lectures 22 Mar - 4 Jul, exams 12-25 Jul)</t>
        </is>
      </c>
      <c r="B36" s="9" t="inlineStr">
        <is>
          <t>SCSE2233</t>
        </is>
      </c>
      <c r="C36" s="9" t="inlineStr">
        <is>
          <t>Software Design and Architecture - REPEAT</t>
        </is>
      </c>
      <c r="D36" s="9" t="n">
        <v>3</v>
      </c>
      <c r="E36" s="9" t="inlineStr">
        <is>
          <t>Repeat needed</t>
        </is>
      </c>
      <c r="F36" s="9" t="n">
        <v>3</v>
      </c>
      <c r="G36" s="9" t="inlineStr">
        <is>
          <t>T</t>
        </is>
      </c>
      <c r="H36" s="9" t="inlineStr">
        <is>
          <t>was D</t>
        </is>
      </c>
      <c r="I36" s="9" t="inlineStr">
        <is>
          <t>SCSE1203</t>
        </is>
      </c>
      <c r="J36" s="9" t="inlineStr">
        <is>
          <t>Planned</t>
        </is>
      </c>
      <c r="K36" s="9" t="inlineStr">
        <is>
          <t>Yes (B)</t>
        </is>
      </c>
      <c r="L36" s="9" t="inlineStr">
        <is>
          <t>P (prereq) / A (offered Sem II: [STR] Y2S2)</t>
        </is>
      </c>
      <c r="M36" s="9" t="inlineStr">
        <is>
          <t>STR/AUD</t>
        </is>
      </c>
      <c r="N36" s="9" t="inlineStr">
        <is>
          <t>Unblocks SCSE3213</t>
        </is>
      </c>
    </row>
    <row r="37">
      <c r="A37" s="9" t="inlineStr">
        <is>
          <t>SEM 6 - Y3 S2 - 2026/2027 Sem II: 22 Mar - 3 Oct 2027 (lectures 22 Mar - 4 Jul, exams 12-25 Jul)</t>
        </is>
      </c>
      <c r="B37" s="9" t="inlineStr">
        <is>
          <t>SCSP3213</t>
        </is>
      </c>
      <c r="C37" s="9" t="inlineStr">
        <is>
          <t>Business Intelligence - REPEAT</t>
        </is>
      </c>
      <c r="D37" s="9" t="n">
        <v>3</v>
      </c>
      <c r="E37" s="9" t="inlineStr">
        <is>
          <t>Repeat needed</t>
        </is>
      </c>
      <c r="F37" s="9" t="n">
        <v>3</v>
      </c>
      <c r="G37" s="9" t="inlineStr">
        <is>
          <t>E</t>
        </is>
      </c>
      <c r="H37" s="9" t="inlineStr">
        <is>
          <t>was D</t>
        </is>
      </c>
      <c r="I37" s="9" t="inlineStr">
        <is>
          <t>-</t>
        </is>
      </c>
      <c r="J37" s="9" t="inlineStr">
        <is>
          <t>Planned</t>
        </is>
      </c>
      <c r="K37" s="9" t="inlineStr">
        <is>
          <t>-</t>
        </is>
      </c>
      <c r="L37" s="9" t="inlineStr">
        <is>
          <t>A (offered Sem II: [STR] Y2S2)</t>
        </is>
      </c>
      <c r="M37" s="9" t="inlineStr">
        <is>
          <t>STR/AUD</t>
        </is>
      </c>
      <c r="N37" s="9" t="inlineStr">
        <is>
          <t>Alternative for the Y2S2 elective: SCSB2103 Bioinformatics I or SCSP2753 Data Mining (would not replace the D - A)</t>
        </is>
      </c>
    </row>
    <row r="38">
      <c r="A38" s="10" t="inlineStr">
        <is>
          <t>SEM 6 - Y3 S2 - 2026/2027 Sem II: 22 Mar - 3 Oct 2027 (lectures 22 Mar - 4 Jul, exams 12-25 Jul)</t>
        </is>
      </c>
      <c r="B38" s="10" t="inlineStr">
        <is>
          <t>SCSR3133</t>
        </is>
      </c>
      <c r="C38" s="10" t="inlineStr">
        <is>
          <t>Secure Software Programming</t>
        </is>
      </c>
      <c r="D38" s="10" t="n">
        <v>3</v>
      </c>
      <c r="E38" s="10" t="inlineStr">
        <is>
          <t>Not yet taken</t>
        </is>
      </c>
      <c r="F38" s="10" t="n">
        <v>3</v>
      </c>
      <c r="G38" s="10" t="inlineStr">
        <is>
          <t>T</t>
        </is>
      </c>
      <c r="H38" s="10" t="inlineStr">
        <is>
          <t>-</t>
        </is>
      </c>
      <c r="I38" s="10" t="inlineStr">
        <is>
          <t>'SCSM 2213' per [STR]</t>
        </is>
      </c>
      <c r="J38" s="10" t="inlineStr">
        <is>
          <t>Planned</t>
        </is>
      </c>
      <c r="K38" s="10" t="inlineStr">
        <is>
          <t>Likely (A): code not in [CUR]; SCSM2113 B-/SCSM2223 B passed</t>
        </is>
      </c>
      <c r="L38" s="10" t="inlineStr">
        <is>
          <t>A</t>
        </is>
      </c>
      <c r="M38" s="10" t="inlineStr">
        <is>
          <t>STR/CUR</t>
        </is>
      </c>
      <c r="N38" s="10" t="inlineStr">
        <is>
          <t>Conflict K3</t>
        </is>
      </c>
    </row>
    <row r="39">
      <c r="A39" s="10" t="inlineStr">
        <is>
          <t>SEM 6 - Y3 S2 - 2026/2027 Sem II: 22 Mar - 3 Oct 2027 (lectures 22 Mar - 4 Jul, exams 12-25 Jul)</t>
        </is>
      </c>
      <c r="B39" s="10" t="inlineStr">
        <is>
          <t>SCSE3223</t>
        </is>
      </c>
      <c r="C39" s="10" t="inlineStr">
        <is>
          <t>Application Development Project II</t>
        </is>
      </c>
      <c r="D39" s="10" t="n">
        <v>3</v>
      </c>
      <c r="E39" s="10" t="inlineStr">
        <is>
          <t>Not yet taken</t>
        </is>
      </c>
      <c r="F39" s="10" t="n">
        <v>3</v>
      </c>
      <c r="G39" s="10" t="inlineStr">
        <is>
          <t>T</t>
        </is>
      </c>
      <c r="H39" s="10" t="inlineStr">
        <is>
          <t>-</t>
        </is>
      </c>
      <c r="I39" s="10" t="inlineStr">
        <is>
          <t>SCSE2243</t>
        </is>
      </c>
      <c r="J39" s="10" t="inlineStr">
        <is>
          <t>Planned</t>
        </is>
      </c>
      <c r="K39" s="10" t="inlineStr">
        <is>
          <t>Yes (A)</t>
        </is>
      </c>
      <c r="L39" s="10" t="inlineStr">
        <is>
          <t>P (prereq) / A (sem)</t>
        </is>
      </c>
      <c r="M39" s="10" t="inlineStr">
        <is>
          <t>STR/RES</t>
        </is>
      </c>
      <c r="N39" s="10" t="inlineStr"/>
    </row>
    <row r="40">
      <c r="A40" s="10" t="inlineStr">
        <is>
          <t>SEM 6 - Y3 S2 - 2026/2027 Sem II: 22 Mar - 3 Oct 2027 (lectures 22 Mar - 4 Jul, exams 12-25 Jul)</t>
        </is>
      </c>
      <c r="B40" s="10" t="inlineStr">
        <is>
          <t>SCSE3233</t>
        </is>
      </c>
      <c r="C40" s="10" t="inlineStr">
        <is>
          <t>Professional Practice in Software Engineering</t>
        </is>
      </c>
      <c r="D40" s="10" t="n">
        <v>3</v>
      </c>
      <c r="E40" s="10" t="inlineStr">
        <is>
          <t>Not yet taken</t>
        </is>
      </c>
      <c r="F40" s="10" t="n">
        <v>3</v>
      </c>
      <c r="G40" s="10" t="inlineStr">
        <is>
          <t>T</t>
        </is>
      </c>
      <c r="H40" s="10" t="inlineStr">
        <is>
          <t>-</t>
        </is>
      </c>
      <c r="I40" s="10" t="inlineStr">
        <is>
          <t>SCSE1203</t>
        </is>
      </c>
      <c r="J40" s="10" t="inlineStr">
        <is>
          <t>Planned</t>
        </is>
      </c>
      <c r="K40" s="10" t="inlineStr">
        <is>
          <t>Yes (B)</t>
        </is>
      </c>
      <c r="L40" s="10" t="inlineStr">
        <is>
          <t>P (prereq) / A (sem)</t>
        </is>
      </c>
      <c r="M40" s="10" t="inlineStr">
        <is>
          <t>STR/AUD</t>
        </is>
      </c>
      <c r="N40" s="10" t="inlineStr"/>
    </row>
    <row r="41">
      <c r="A41" s="10" t="inlineStr">
        <is>
          <t>SEM 6 - Y3 S2 - 2026/2027 Sem II: 22 Mar - 3 Oct 2027 (lectures 22 Mar - 4 Jul, exams 12-25 Jul)</t>
        </is>
      </c>
      <c r="B41" s="10" t="inlineStr">
        <is>
          <t>ULRS3032</t>
        </is>
      </c>
      <c r="C41" s="10" t="inlineStr">
        <is>
          <t>Entrepreneurship and Innovation</t>
        </is>
      </c>
      <c r="D41" s="10" t="n">
        <v>2</v>
      </c>
      <c r="E41" s="10" t="inlineStr">
        <is>
          <t>Not yet taken</t>
        </is>
      </c>
      <c r="F41" s="10" t="n">
        <v>2</v>
      </c>
      <c r="G41" s="10" t="inlineStr">
        <is>
          <t>U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Planned</t>
        </is>
      </c>
      <c r="K41" s="10" t="inlineStr">
        <is>
          <t>-</t>
        </is>
      </c>
      <c r="L41" s="10" t="inlineStr">
        <is>
          <t>A (sem)</t>
        </is>
      </c>
      <c r="M41" s="10" t="inlineStr">
        <is>
          <t>STR</t>
        </is>
      </c>
      <c r="N41" s="10" t="inlineStr"/>
    </row>
    <row r="42">
      <c r="A42" t="inlineStr">
        <is>
          <t>Short Semester 2026/2027: 26 Jul - 3 Oct 2027 - nothing planned (contingency only)</t>
        </is>
      </c>
      <c r="C42" t="inlineStr">
        <is>
          <t>Use only if a repeat (SCSE2233 / SCSP3213) or another SEM 6 course is failed again. Course offerings in the short semester are not in the sources (A).</t>
        </is>
      </c>
      <c r="E42" t="inlineStr">
        <is>
          <t>Contingency only</t>
        </is>
      </c>
    </row>
    <row r="43">
      <c r="A43" s="10" t="inlineStr">
        <is>
          <t>SEM 7 - Y4 S1 - 2027/2028 Sem I (approx. Oct 2027 - Mar 2028; dates A)</t>
        </is>
      </c>
      <c r="B43" s="10" t="inlineStr">
        <is>
          <t>SCSE3242</t>
        </is>
      </c>
      <c r="C43" s="10" t="inlineStr">
        <is>
          <t>Software Engineering Project I</t>
        </is>
      </c>
      <c r="D43" s="10" t="n">
        <v>2</v>
      </c>
      <c r="E43" s="10" t="inlineStr">
        <is>
          <t>Not yet taken</t>
        </is>
      </c>
      <c r="F43" s="10" t="n">
        <v>2</v>
      </c>
      <c r="G43" s="10" t="inlineStr">
        <is>
          <t>T</t>
        </is>
      </c>
      <c r="H43" s="10" t="inlineStr">
        <is>
          <t>-</t>
        </is>
      </c>
      <c r="I43" s="10" t="inlineStr">
        <is>
          <t>80 credits + SCSE2243</t>
        </is>
      </c>
      <c r="J43" s="10" t="inlineStr">
        <is>
          <t>Planned</t>
        </is>
      </c>
      <c r="K43" s="10" t="inlineStr">
        <is>
          <t>Yes: KD 92 &gt;= 80 at start (C) + SCSE2243 A (P)</t>
        </is>
      </c>
      <c r="L43" s="10" t="inlineStr">
        <is>
          <t>C (gate) / A (offered in Sem I)</t>
        </is>
      </c>
      <c r="M43" s="10" t="inlineStr">
        <is>
          <t>STR/RES</t>
        </is>
      </c>
      <c r="N43" s="10" t="inlineStr">
        <is>
          <t>[STR] places it in Y3S2. Earliest KD&gt;=80 semester. Fallback F1 if Sem II only</t>
        </is>
      </c>
    </row>
    <row r="44">
      <c r="A44" s="10" t="inlineStr">
        <is>
          <t>SEM 7 - Y4 S1 - 2027/2028 Sem I (approx. Oct 2027 - Mar 2028; dates A)</t>
        </is>
      </c>
      <c r="B44" s="10" t="inlineStr">
        <is>
          <t>ULRS1022</t>
        </is>
      </c>
      <c r="C44" s="10" t="inlineStr">
        <is>
          <t>Philosophy and Current Issues</t>
        </is>
      </c>
      <c r="D44" s="10" t="n">
        <v>2</v>
      </c>
      <c r="E44" s="10" t="inlineStr">
        <is>
          <t>Not yet taken</t>
        </is>
      </c>
      <c r="F44" s="10" t="n">
        <v>2</v>
      </c>
      <c r="G44" s="10" t="inlineStr">
        <is>
          <t>U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Planned</t>
        </is>
      </c>
      <c r="K44" s="10" t="inlineStr">
        <is>
          <t>-</t>
        </is>
      </c>
      <c r="L44" s="10" t="inlineStr">
        <is>
          <t>A (sem; [CUR] lists Y1 S1)</t>
        </is>
      </c>
      <c r="M44" s="10" t="inlineStr">
        <is>
          <t>STR/CUR</t>
        </is>
      </c>
      <c r="N44" s="10" t="inlineStr"/>
    </row>
    <row r="45">
      <c r="A45" s="7" t="inlineStr">
        <is>
          <t>SEM 7 - Y4 S1 - 2027/2028 Sem I (approx. Oct 2027 - Mar 2028; dates A)</t>
        </is>
      </c>
      <c r="B45" s="7" t="inlineStr">
        <is>
          <t>FE I</t>
        </is>
      </c>
      <c r="C45" s="7" t="inlineStr">
        <is>
          <t>Free Elective I (slot)</t>
        </is>
      </c>
      <c r="D45" s="7" t="n">
        <v>3</v>
      </c>
      <c r="E45" s="7" t="inlineStr">
        <is>
          <t>Elective slot TBD</t>
        </is>
      </c>
      <c r="F45" s="7" t="n">
        <v>3</v>
      </c>
      <c r="G45" s="7" t="inlineStr">
        <is>
          <t>U</t>
        </is>
      </c>
      <c r="H45" s="7" t="inlineStr">
        <is>
          <t>-</t>
        </is>
      </c>
      <c r="I45" s="7" t="inlineStr">
        <is>
          <t>non-Computing faculty</t>
        </is>
      </c>
      <c r="J45" s="7" t="inlineStr">
        <is>
          <t>Planned</t>
        </is>
      </c>
      <c r="K45" s="7" t="inlineStr">
        <is>
          <t>-</t>
        </is>
      </c>
      <c r="L45" s="7" t="inlineStr">
        <is>
          <t>A</t>
        </is>
      </c>
      <c r="M45" s="7" t="inlineStr">
        <is>
          <t>STR/CUR</t>
        </is>
      </c>
      <c r="N45" s="7" t="inlineStr">
        <is>
          <t>Category label: U-FE. Any course in [CUR] UNIVERSITY list offered by a faculty other than Computing ([STR] footnote)</t>
        </is>
      </c>
    </row>
    <row r="46">
      <c r="A46" s="7" t="inlineStr">
        <is>
          <t>SEM 7 - Y4 S1 - 2027/2028 Sem I (approx. Oct 2027 - Mar 2028; dates A)</t>
        </is>
      </c>
      <c r="B46" s="7" t="inlineStr">
        <is>
          <t>FE III</t>
        </is>
      </c>
      <c r="C46" s="7" t="inlineStr">
        <is>
          <t>Free Elective III (slot)</t>
        </is>
      </c>
      <c r="D46" s="7" t="n">
        <v>3</v>
      </c>
      <c r="E46" s="7" t="inlineStr">
        <is>
          <t>Elective slot TBD</t>
        </is>
      </c>
      <c r="F46" s="7" t="n">
        <v>3</v>
      </c>
      <c r="G46" s="7" t="inlineStr">
        <is>
          <t>U</t>
        </is>
      </c>
      <c r="H46" s="7" t="inlineStr">
        <is>
          <t>-</t>
        </is>
      </c>
      <c r="I46" s="7" t="inlineStr">
        <is>
          <t>non-Computing faculty</t>
        </is>
      </c>
      <c r="J46" s="7" t="inlineStr">
        <is>
          <t>Planned</t>
        </is>
      </c>
      <c r="K46" s="7" t="inlineStr">
        <is>
          <t>-</t>
        </is>
      </c>
      <c r="L46" s="7" t="inlineStr">
        <is>
          <t>A</t>
        </is>
      </c>
      <c r="M46" s="7" t="inlineStr">
        <is>
          <t>STR/CUR</t>
        </is>
      </c>
      <c r="N46" s="7" t="inlineStr">
        <is>
          <t>Category label: U-FE. Any course in [CUR] UNIVERSITY list offered by a faculty other than Computing ([STR] footnote) ([STR] puts it in Y4S2)</t>
        </is>
      </c>
    </row>
    <row r="47">
      <c r="A47" s="7" t="inlineStr">
        <is>
          <t>SEM 7 - Y4 S1 - 2027/2028 Sem I (approx. Oct 2027 - Mar 2028; dates A)</t>
        </is>
      </c>
      <c r="B47" s="7" t="inlineStr">
        <is>
          <t>FE IV</t>
        </is>
      </c>
      <c r="C47" s="7" t="inlineStr">
        <is>
          <t>Free Elective IV (slot)</t>
        </is>
      </c>
      <c r="D47" s="7" t="n">
        <v>3</v>
      </c>
      <c r="E47" s="7" t="inlineStr">
        <is>
          <t>Elective slot TBD</t>
        </is>
      </c>
      <c r="F47" s="7" t="n">
        <v>3</v>
      </c>
      <c r="G47" s="7" t="inlineStr">
        <is>
          <t>U</t>
        </is>
      </c>
      <c r="H47" s="7" t="inlineStr">
        <is>
          <t>-</t>
        </is>
      </c>
      <c r="I47" s="7" t="inlineStr">
        <is>
          <t>non-Computing faculty</t>
        </is>
      </c>
      <c r="J47" s="7" t="inlineStr">
        <is>
          <t>Planned</t>
        </is>
      </c>
      <c r="K47" s="7" t="inlineStr">
        <is>
          <t>-</t>
        </is>
      </c>
      <c r="L47" s="7" t="inlineStr">
        <is>
          <t>A</t>
        </is>
      </c>
      <c r="M47" s="7" t="inlineStr">
        <is>
          <t>STR/CUR</t>
        </is>
      </c>
      <c r="N47" s="7" t="inlineStr">
        <is>
          <t>Category label: U-FE. Any course in [CUR] UNIVERSITY list offered by a faculty other than Computing ([STR] footnote) ([STR] puts it in Y4S2)</t>
        </is>
      </c>
    </row>
    <row r="48">
      <c r="A48" s="10" t="inlineStr">
        <is>
          <t>SEM 8 - Y4 S2 - 2027/2028 Sem II (approx. Mar - Jul 2028; dates A)</t>
        </is>
      </c>
      <c r="B48" s="10" t="inlineStr">
        <is>
          <t>SCSE4214</t>
        </is>
      </c>
      <c r="C48" s="10" t="inlineStr">
        <is>
          <t>Software Engineering Project II</t>
        </is>
      </c>
      <c r="D48" s="10" t="n">
        <v>4</v>
      </c>
      <c r="E48" s="10" t="inlineStr">
        <is>
          <t>Not yet taken</t>
        </is>
      </c>
      <c r="F48" s="10" t="n">
        <v>4</v>
      </c>
      <c r="G48" s="10" t="inlineStr">
        <is>
          <t>T</t>
        </is>
      </c>
      <c r="H48" s="10" t="inlineStr">
        <is>
          <t>-</t>
        </is>
      </c>
      <c r="I48" s="10" t="inlineStr">
        <is>
          <t>SCSE3242</t>
        </is>
      </c>
      <c r="J48" s="10" t="inlineStr">
        <is>
          <t>Planned</t>
        </is>
      </c>
      <c r="K48" s="10" t="inlineStr">
        <is>
          <t>Planned (SEM 7)</t>
        </is>
      </c>
      <c r="L48" s="10" t="inlineStr">
        <is>
          <t>A</t>
        </is>
      </c>
      <c r="M48" s="10" t="inlineStr">
        <is>
          <t>STR</t>
        </is>
      </c>
      <c r="N48" s="10" t="inlineStr"/>
    </row>
    <row r="49">
      <c r="A49" s="10" t="inlineStr">
        <is>
          <t>SEM 8 - Y4 S2 - 2027/2028 Sem II (approx. Mar - Jul 2028; dates A)</t>
        </is>
      </c>
      <c r="B49" s="10" t="inlineStr">
        <is>
          <t>SCSE3213</t>
        </is>
      </c>
      <c r="C49" s="10" t="inlineStr">
        <is>
          <t>Software Quality and Testing</t>
        </is>
      </c>
      <c r="D49" s="10" t="n">
        <v>3</v>
      </c>
      <c r="E49" s="10" t="inlineStr">
        <is>
          <t>Not yet taken</t>
        </is>
      </c>
      <c r="F49" s="10" t="n">
        <v>3</v>
      </c>
      <c r="G49" s="10" t="inlineStr">
        <is>
          <t>T</t>
        </is>
      </c>
      <c r="H49" s="10" t="inlineStr">
        <is>
          <t>-</t>
        </is>
      </c>
      <c r="I49" s="10" t="inlineStr">
        <is>
          <t>SCSE2123, SCSE2233</t>
        </is>
      </c>
      <c r="J49" s="10" t="inlineStr">
        <is>
          <t>Planned</t>
        </is>
      </c>
      <c r="K49" s="10" t="inlineStr">
        <is>
          <t>SCSE2123 yes (C+); SCSE2233 planned SEM 6</t>
        </is>
      </c>
      <c r="L49" s="10" t="inlineStr">
        <is>
          <t>A</t>
        </is>
      </c>
      <c r="M49" s="10" t="inlineStr">
        <is>
          <t>STR</t>
        </is>
      </c>
      <c r="N49" s="10" t="inlineStr">
        <is>
          <t>Cannot be in SEM 6: SCSE2233 must be passed first</t>
        </is>
      </c>
    </row>
    <row r="50">
      <c r="A50" s="7" t="inlineStr">
        <is>
          <t>SEM 8 - Y4 S2 - 2027/2028 Sem II (approx. Mar - Jul 2028; dates A)</t>
        </is>
      </c>
      <c r="B50" s="7" t="inlineStr">
        <is>
          <t>PE-A</t>
        </is>
      </c>
      <c r="C50" s="7" t="inlineStr">
        <is>
          <t>Programme Elective (Y4S2 group) #1</t>
        </is>
      </c>
      <c r="D50" s="7" t="n">
        <v>3</v>
      </c>
      <c r="E50" s="7" t="inlineStr">
        <is>
          <t>Elective slot TBD</t>
        </is>
      </c>
      <c r="F50" s="7" t="n">
        <v>3</v>
      </c>
      <c r="G50" s="7" t="inlineStr">
        <is>
          <t>E</t>
        </is>
      </c>
      <c r="H50" s="7" t="inlineStr">
        <is>
          <t>-</t>
        </is>
      </c>
      <c r="I50" s="7" t="inlineStr">
        <is>
          <t>-</t>
        </is>
      </c>
      <c r="J50" s="7" t="inlineStr">
        <is>
          <t>Planned</t>
        </is>
      </c>
      <c r="K50" s="7" t="inlineStr">
        <is>
          <t>-</t>
        </is>
      </c>
      <c r="L50" s="7" t="inlineStr">
        <is>
          <t>P (options) / A (choice)</t>
        </is>
      </c>
      <c r="M50" s="7" t="inlineStr">
        <is>
          <t>STR</t>
        </is>
      </c>
      <c r="N50" s="7" t="inlineStr">
        <is>
          <t>SCSR4453 Network Security; SCSR4973 Computer Network &amp; Security Special Topics; SECB3133 Computational Biology I; SECB3203 Programming for Bioinformatics; PRISMS Elective (SECR/SECP/SECJ5xx3, eligibility per PRISMS handout)</t>
        </is>
      </c>
    </row>
    <row r="51">
      <c r="A51" s="7" t="inlineStr">
        <is>
          <t>SEM 8 - Y4 S2 - 2027/2028 Sem II (approx. Mar - Jul 2028; dates A)</t>
        </is>
      </c>
      <c r="B51" s="7" t="inlineStr">
        <is>
          <t>PE-B</t>
        </is>
      </c>
      <c r="C51" s="7" t="inlineStr">
        <is>
          <t>Programme Elective (Y4S2 group) #2</t>
        </is>
      </c>
      <c r="D51" s="7" t="n">
        <v>3</v>
      </c>
      <c r="E51" s="7" t="inlineStr">
        <is>
          <t>Elective slot TBD</t>
        </is>
      </c>
      <c r="F51" s="7" t="n">
        <v>3</v>
      </c>
      <c r="G51" s="7" t="inlineStr">
        <is>
          <t>E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Planned</t>
        </is>
      </c>
      <c r="K51" s="7" t="inlineStr">
        <is>
          <t>-</t>
        </is>
      </c>
      <c r="L51" s="7" t="inlineStr">
        <is>
          <t>P (options) / A (choice)</t>
        </is>
      </c>
      <c r="M51" s="7" t="inlineStr">
        <is>
          <t>STR</t>
        </is>
      </c>
      <c r="N51" s="7" t="inlineStr">
        <is>
          <t>SCSR4453 Network Security; SCSR4973 Computer Network &amp; Security Special Topics; SECB3133 Computational Biology I; SECB3203 Programming for Bioinformatics; PRISMS Elective (SECR/SECP/SECJ5xx3, eligibility per PRISMS handout)</t>
        </is>
      </c>
    </row>
    <row r="52">
      <c r="A52" s="10" t="inlineStr">
        <is>
          <t>SEM 9 - 2028/2029 Sem I (approx. Oct 2028 - Feb 2029; dates A) - Industrial Training</t>
        </is>
      </c>
      <c r="B52" s="10" t="inlineStr">
        <is>
          <t>SCSE4108</t>
        </is>
      </c>
      <c r="C52" s="10" t="inlineStr">
        <is>
          <t>Industrial Training (HW)</t>
        </is>
      </c>
      <c r="D52" s="10" t="n">
        <v>8</v>
      </c>
      <c r="E52" s="10" t="inlineStr">
        <is>
          <t>Not yet taken</t>
        </is>
      </c>
      <c r="F52" s="10" t="n">
        <v>8</v>
      </c>
      <c r="G52" s="10" t="inlineStr">
        <is>
          <t>T</t>
        </is>
      </c>
      <c r="H52" s="10" t="inlineStr">
        <is>
          <t>-</t>
        </is>
      </c>
      <c r="I52" s="10" t="inlineStr">
        <is>
          <t>92 credits + CGPA &gt;= 2.0</t>
        </is>
      </c>
      <c r="J52" s="10" t="inlineStr">
        <is>
          <t>Planned</t>
        </is>
      </c>
      <c r="K52" s="10" t="inlineStr">
        <is>
          <t>Yes: KD 118 (C); CGPA 2.55 now (P) - must stay &gt;= 2.0</t>
        </is>
      </c>
      <c r="L52" s="10" t="inlineStr">
        <is>
          <t>C / A (sem)</t>
        </is>
      </c>
      <c r="M52" s="10" t="inlineStr">
        <is>
          <t>STR</t>
        </is>
      </c>
      <c r="N52" s="10" t="inlineStr"/>
    </row>
    <row r="53">
      <c r="A53" s="10" t="inlineStr">
        <is>
          <t>SEM 9 - 2028/2029 Sem I (approx. Oct 2028 - Feb 2029; dates A) - Industrial Training</t>
        </is>
      </c>
      <c r="B53" s="10" t="inlineStr">
        <is>
          <t>SCSE4114</t>
        </is>
      </c>
      <c r="C53" s="10" t="inlineStr">
        <is>
          <t>Industrial Training Report</t>
        </is>
      </c>
      <c r="D53" s="10" t="n">
        <v>4</v>
      </c>
      <c r="E53" s="10" t="inlineStr">
        <is>
          <t>Not yet taken</t>
        </is>
      </c>
      <c r="F53" s="10" t="n">
        <v>4</v>
      </c>
      <c r="G53" s="10" t="inlineStr">
        <is>
          <t>T</t>
        </is>
      </c>
      <c r="H53" s="10" t="inlineStr">
        <is>
          <t>-</t>
        </is>
      </c>
      <c r="I53" s="10" t="inlineStr">
        <is>
          <t>92 credits + CGPA &gt;= 2.0</t>
        </is>
      </c>
      <c r="J53" s="10" t="inlineStr">
        <is>
          <t>Planned</t>
        </is>
      </c>
      <c r="K53" s="10" t="inlineStr">
        <is>
          <t>Yes (same as above)</t>
        </is>
      </c>
      <c r="L53" s="10" t="inlineStr">
        <is>
          <t>C / A (sem)</t>
        </is>
      </c>
      <c r="M53" s="10" t="inlineStr">
        <is>
          <t>STR</t>
        </is>
      </c>
      <c r="N53" s="10" t="inlineStr"/>
    </row>
  </sheetData>
  <autoFilter ref="A1:N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  <col width="40" customWidth="1" min="3" max="3"/>
  </cols>
  <sheetData>
    <row r="1">
      <c r="A1" s="2" t="inlineStr">
        <is>
          <t>Semester</t>
        </is>
      </c>
      <c r="B1" s="2" t="inlineStr">
        <is>
          <t>Credits (registered/to add/planned)</t>
        </is>
      </c>
      <c r="C1" s="2" t="inlineStr">
        <is>
          <t>Official KD after (if all passed)</t>
        </is>
      </c>
    </row>
    <row r="2">
      <c r="A2" t="inlineStr">
        <is>
          <t>SEM 5 - Y3 S1 - 2026/2027 Sem I (202620271) - CURRENT: 12 Oct 2026 - 21 Mar 2027</t>
        </is>
      </c>
      <c r="B2" t="n">
        <v>18</v>
      </c>
      <c r="C2" t="inlineStr">
        <is>
          <t>69 (registered only) / 75 (with adds)</t>
        </is>
      </c>
    </row>
    <row r="3">
      <c r="A3" t="inlineStr">
        <is>
          <t>SEM 6 - Y3 S2 - 2026/2027 Sem II: 22 Mar - 3 Oct 2027 (lectures 22 Mar - 4 Jul, exams 12-25 Jul)</t>
        </is>
      </c>
      <c r="B3" t="n">
        <v>17</v>
      </c>
      <c r="C3" t="n">
        <v>92</v>
      </c>
    </row>
    <row r="4">
      <c r="A4" t="inlineStr">
        <is>
          <t>SEM 7 - Y4 S1 - 2027/2028 Sem I (approx. Oct 2027 - Mar 2028; dates A)</t>
        </is>
      </c>
      <c r="B4" t="n">
        <v>13</v>
      </c>
      <c r="C4" t="n">
        <v>105</v>
      </c>
    </row>
    <row r="5">
      <c r="A5" t="inlineStr">
        <is>
          <t>SEM 8 - Y4 S2 - 2027/2028 Sem II (approx. Mar - Jul 2028; dates A)</t>
        </is>
      </c>
      <c r="B5" t="n">
        <v>13</v>
      </c>
      <c r="C5" t="n">
        <v>118</v>
      </c>
    </row>
    <row r="6">
      <c r="A6" t="inlineStr">
        <is>
          <t>SEM 9 - 2028/2029 Sem I (approx. Oct 2028 - Feb 2029; dates A) - Industrial Training</t>
        </is>
      </c>
      <c r="B6" t="n">
        <v>12</v>
      </c>
      <c r="C6" t="n">
        <v>130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50" customWidth="1" min="2" max="2"/>
  </cols>
  <sheetData>
    <row r="1">
      <c r="A1" s="2" t="inlineStr">
        <is>
          <t>#</t>
        </is>
      </c>
      <c r="B1" s="2" t="inlineStr">
        <is>
          <t>What changed</t>
        </is>
      </c>
    </row>
    <row r="2">
      <c r="A2" s="13" t="n">
        <v>1</v>
      </c>
      <c r="B2" s="13" t="inlineStr">
        <is>
          <t>SEM 5 load: old block said 19 (counted a blank 'Free Elective II' on top of SFMX1063, while UHLB2122 sat in the Y2S2 block). Now: 12 registered + 6 to add (UHLB2122, UHLB3132, UHLF1112) = 18.</t>
        </is>
      </c>
    </row>
    <row r="3">
      <c r="A3" s="13" t="n">
        <v>2</v>
      </c>
      <c r="B3" s="13" t="inlineStr">
        <is>
          <t>SFMX1063 Information Technology in Business = category U (audit), filling the FE II slot. No second FE II. FE I (never taken in Y1S1) is now an explicit open slot, placed in SEM 7.</t>
        </is>
      </c>
    </row>
    <row r="4">
      <c r="A4" s="13" t="n">
        <v>3</v>
      </c>
      <c r="B4" s="13" t="inlineStr">
        <is>
          <t>Repeats SCSE2233 Software Design and Architecture and SCSP3213 Business Intelligence: old plan had no future slot. Now in SEM 6 (Sem II, the semester where [STR] offers them).</t>
        </is>
      </c>
    </row>
    <row r="5">
      <c r="A5" s="13" t="n">
        <v>4</v>
      </c>
      <c r="B5" s="13" t="inlineStr">
        <is>
          <t>ULRS1022 Philosophy and Current Issues (never taken) now placed in SEM 7.</t>
        </is>
      </c>
    </row>
    <row r="6">
      <c r="A6" s="13" t="n">
        <v>5</v>
      </c>
      <c r="B6" s="13" t="inlineStr">
        <is>
          <t>SCSE3242 Software Engineering Project I moved from SEM 6 to SEM 7: KD can reach at most 75 by the start of SEM 6 (&lt;80), and 92 by SEM 7.</t>
        </is>
      </c>
    </row>
    <row r="7">
      <c r="A7" s="13" t="n">
        <v>6</v>
      </c>
      <c r="B7" s="13" t="inlineStr">
        <is>
          <t>SCSE3213 Software Quality and Testing moved from SEM 6 to SEM 8 (needs SCSE2233 passed first). SCSE4214 Software Engineering Project II stays in SEM 8. Industrial Training SCSE4108/SCSE4114 moves to SEM 9.</t>
        </is>
      </c>
    </row>
    <row r="8">
      <c r="A8" s="13" t="n">
        <v>7</v>
      </c>
      <c r="B8" s="13" t="inlineStr">
        <is>
          <t>'SCSRxxx3 Program Elective' x2 replaced by the official Y4S2 options: SCSR4453, SCSR4973, SECB3133, SECB3203, PRISMS.</t>
        </is>
      </c>
    </row>
    <row r="9">
      <c r="A9" s="13" t="n">
        <v>8</v>
      </c>
      <c r="B9" s="13" t="inlineStr">
        <is>
          <t>UHLB1112 English Communication Skills no longer inside a semester total (old Y1S1 = 19). [STR] Y1S1 = 17; UHLB1112 is shown separately (conflict K1).</t>
        </is>
      </c>
    </row>
    <row r="10">
      <c r="A10" s="13" t="n">
        <v>9</v>
      </c>
      <c r="B10" s="13" t="inlineStr">
        <is>
          <t>Every row now has a text status, category, prerequisite check, source and evidence tag (P/C/A). Added category totals, KD projection and CGPA section.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50" customWidth="1" min="2" max="2"/>
  </cols>
  <sheetData>
    <row r="1">
      <c r="A1" s="2" t="inlineStr">
        <is>
          <t>ID</t>
        </is>
      </c>
      <c r="B1" s="2" t="inlineStr">
        <is>
          <t>Assumption</t>
        </is>
      </c>
    </row>
    <row r="2">
      <c r="A2" s="13" t="inlineStr">
        <is>
          <t>A1</t>
        </is>
      </c>
      <c r="B2" s="13" t="inlineStr">
        <is>
          <t>Offering semester = where [STR] places the course (Year x Sem 1 = Sem I in Oct, Sem 2 = Sem II in Mar). [STR] does not state offerings.</t>
        </is>
      </c>
    </row>
    <row r="3">
      <c r="A3" s="13" t="inlineStr">
        <is>
          <t>A2</t>
        </is>
      </c>
      <c r="B3" s="13" t="inlineStr">
        <is>
          <t>SCSE3242 Software Engineering Project I is offered in Sem I (SEM 7). Fallback F1: if it runs only in Sem II, swap: SEM 7 = Industrial Training SCSE4108 + SCSE4114, SEM 8 = SCSE3242 + SCSE3213 + ULRS1022 + FE I/III/IV, and SCSE4214 + 2 programme electives in SEM 9 (if offered in Sem I) or SEM 10 (Mar-Jul 2029). SEM 10 matches the 29 Aug 2029 expected graduation.</t>
        </is>
      </c>
    </row>
    <row r="4">
      <c r="A4" s="13" t="inlineStr">
        <is>
          <t>A3</t>
        </is>
      </c>
      <c r="B4" s="13" t="inlineStr">
        <is>
          <t>The three SEM 5 adds (UHLB2122, UHLB3132, UHLF1112) get registered. If not, KD after SEM 5 = 69 (not 75), after SEM 6 = 86: still &gt;= 80 for SCSE3242 in SEM 7. The 6 B credits then need a later semester (offerings of UHLB/UHLx in other semesters not in sources).</t>
        </is>
      </c>
    </row>
    <row r="5">
      <c r="A5" s="13" t="inlineStr">
        <is>
          <t>A4</t>
        </is>
      </c>
      <c r="B5" s="13" t="inlineStr">
        <is>
          <t>Every course from now on is passed at the first try. Each failure removes its credits from all later KD figures.</t>
        </is>
      </c>
    </row>
    <row r="6">
      <c r="A6" s="13" t="inlineStr">
        <is>
          <t>A5</t>
        </is>
      </c>
      <c r="B6" s="13" t="inlineStr">
        <is>
          <t>A repeat replaces the old D in the CGPA (UM/UK). Calculated support: JMN 155.66 / KK 61 come out exactly when the first D attempts of SCSR2213 and SCST1223 are left out. The official rule is not in the sources.</t>
        </is>
      </c>
    </row>
    <row r="7">
      <c r="A7" s="13" t="inlineStr">
        <is>
          <t>A6</t>
        </is>
      </c>
      <c r="B7" s="13" t="inlineStr">
        <is>
          <t>The '80 credits' (SCSE3242) and '92 credits' (Industrial Training) gates are measured as official KD (which includes UHLB1112). On the 128-basis the numbers are 2 lower (90 after SEM 6), but the gates still hold where they are used.</t>
        </is>
      </c>
    </row>
    <row r="8">
      <c r="A8" s="13" t="inlineStr">
        <is>
          <t>A7</t>
        </is>
      </c>
      <c r="B8" s="13" t="inlineStr">
        <is>
          <t>Dates for 2027/2028 and 2028/2029 are estimated from the 2026/2027 pattern. Only the 2026/2027 calendar is in the sources.</t>
        </is>
      </c>
    </row>
    <row r="9">
      <c r="A9" s="13" t="inlineStr">
        <is>
          <t>A8</t>
        </is>
      </c>
      <c r="B9" s="13" t="inlineStr">
        <is>
          <t>Which slot SFMX1063 fills (FE II) is a labelling choice. The audit only lists it under U (Umum Universiti); the credit effect is the same.</t>
        </is>
      </c>
    </row>
    <row r="10">
      <c r="A10" s="13" t="inlineStr">
        <is>
          <t>A9</t>
        </is>
      </c>
      <c r="B10" s="13" t="inlineStr">
        <is>
          <t>Loads of 12-18 credits are allowed. The maximum credit load rule is not in the sources.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50" customWidth="1" min="2" max="2"/>
  </cols>
  <sheetData>
    <row r="1">
      <c r="A1" s="2" t="inlineStr">
        <is>
          <t>ID</t>
        </is>
      </c>
      <c r="B1" s="2" t="inlineStr">
        <is>
          <t>Conflict / open question</t>
        </is>
      </c>
    </row>
    <row r="2">
      <c r="A2" s="13" t="inlineStr">
        <is>
          <t>K1</t>
        </is>
      </c>
      <c r="B2" s="13" t="inlineStr">
        <is>
          <t>UHLB1112 English Communication Skills: the audit lists it under B (Bahasa Inggeris, 6) and counts its 2 credits in KD 57 (49 T + 4 U + 2 K + 2 = 57). [STR] treats it as an extra course for students with low English scores. This plan keeps B6 = UHLB2122 + UHLB3132 + UHLF1112 (plan total 128; official KD would end at 130). ASK THE ADVISOR TODAY: if UHLB1112 counts toward B6, only 4 more B credits are needed and one of the three adds (e.g. UHLF1112) may be unnecessary.</t>
        </is>
      </c>
    </row>
    <row r="3">
      <c r="A3" s="13" t="inlineStr">
        <is>
          <t>K2</t>
        </is>
      </c>
      <c r="B3" s="13" t="inlineStr">
        <is>
          <t>[CUR] lists UKQA2022 Digital Media &amp; Community (2) under FACULTY CORE, which makes 84 against the 82 heading. [STR] and the audit do not list it, so it is excluded here. Advisor to confirm.</t>
        </is>
      </c>
    </row>
    <row r="4">
      <c r="A4" s="13" t="inlineStr">
        <is>
          <t>K3</t>
        </is>
      </c>
      <c r="B4" s="13" t="inlineStr">
        <is>
          <t>SCSR3133 Secure Software Programming prerequisite 'SCSM 2213' ([STR]) is not a course in [CUR]. It is probably SCSM2113 or SCSM2223, both passed.</t>
        </is>
      </c>
    </row>
    <row r="5">
      <c r="A5" s="13" t="inlineStr">
        <is>
          <t>K4</t>
        </is>
      </c>
      <c r="B5" s="13" t="inlineStr">
        <is>
          <t>Graduation timing: [STR] = 8 semesters (Jul 2028). This plan ends after SEM 9 (approx. Feb 2029). Status letter (via Omar) says expected graduation 29 Aug 2029; fallback F1 also fits that date.</t>
        </is>
      </c>
    </row>
    <row r="6">
      <c r="A6" s="13" t="inlineStr">
        <is>
          <t>K5</t>
        </is>
      </c>
      <c r="B6" s="13" t="inlineStr">
        <is>
          <t>PRISMS codes differ: [STR] SECR/SECP/SECJ5xx3 vs [CUR] SCSR/SCSP/SCSJ5xxx. PRISMS eligibility (likely CGPA-based) is not in the sources; at CGPA 2.55 it may not be open.</t>
        </is>
      </c>
    </row>
    <row r="7">
      <c r="A7" s="13" t="inlineStr">
        <is>
          <t>K6</t>
        </is>
      </c>
      <c r="B7" s="13" t="inlineStr">
        <is>
          <t>[STR] names the foreign-language slot 'UHLx1122'; [CUR] and [FL] list UHLF1112 French Language under ENGLISH 6.</t>
        </is>
      </c>
    </row>
    <row r="8">
      <c r="A8" s="13" t="inlineStr">
        <is>
          <t>K7</t>
        </is>
      </c>
      <c r="B8" s="13" t="inlineStr">
        <is>
          <t>[CUR] UNIVERSITY list includes SCSE4213 / SCSE4223 (Computing courses), but the [STR] footnote says free electives must come from other faculties. Pick FE courses from non-Computing faculties.</t>
        </is>
      </c>
    </row>
    <row r="9">
      <c r="A9" s="13" t="inlineStr">
        <is>
          <t>K8</t>
        </is>
      </c>
      <c r="B9" s="13" t="inlineStr">
        <is>
          <t>Year label: slip says 'YEAR 2', audit says 'BIL SEMESTER 5'. No effect on credits.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150" customWidth="1" min="2" max="2"/>
  </cols>
  <sheetData>
    <row r="1">
      <c r="A1" s="2" t="inlineStr">
        <is>
          <t>Key</t>
        </is>
      </c>
      <c r="B1" s="2" t="inlineStr">
        <is>
          <t>File (relative to Library) / meaning</t>
        </is>
      </c>
    </row>
    <row r="2">
      <c r="A2" s="13" t="inlineStr">
        <is>
          <t>AUD</t>
        </is>
      </c>
      <c r="B2" s="13" t="inlineStr">
        <is>
          <t>Academic-Records\Graduation-Audit.pdf (scanned, read visually; printed 04 Oct 2026)</t>
        </is>
      </c>
    </row>
    <row r="3">
      <c r="A3" s="13" t="inlineStr">
        <is>
          <t>RES</t>
        </is>
      </c>
      <c r="B3" s="13" t="inlineStr">
        <is>
          <t>Academic-Records\2025-2026\Semester-2\2025-2026-Sem-2-Exam-Results.pdf (KD 57, KK 61, JMN 155.66, CGPA 2.55)</t>
        </is>
      </c>
    </row>
    <row r="4">
      <c r="A4" s="13" t="inlineStr">
        <is>
          <t>SLIP</t>
        </is>
      </c>
      <c r="B4" s="13" t="inlineStr">
        <is>
          <t>Academic-Records\2026-2027\Semester-1\2026-2027-Sem-1-Course-Registration.pdf (04 Oct 2026, 12 credits)</t>
        </is>
      </c>
    </row>
    <row r="5">
      <c r="A5" s="13" t="inlineStr">
        <is>
          <t>CCS</t>
        </is>
      </c>
      <c r="B5" s="13" t="inlineStr">
        <is>
          <t>Academic-Records\Course-Completion-Status.pdf</t>
        </is>
      </c>
    </row>
    <row r="6">
      <c r="A6" s="13" t="inlineStr">
        <is>
          <t>STR</t>
        </is>
      </c>
      <c r="B6" s="13" t="inlineStr">
        <is>
          <t>Academic-Program\SCSEH-Course-Structure-Intake-2024-2025-Rev-2024-11-05.pdf</t>
        </is>
      </c>
    </row>
    <row r="7">
      <c r="A7" s="13" t="inlineStr">
        <is>
          <t>CUR</t>
        </is>
      </c>
      <c r="B7" s="13" t="inlineStr">
        <is>
          <t>Academic-Program\SCSEH-Curriculum-Course-List.pdf</t>
        </is>
      </c>
    </row>
    <row r="8">
      <c r="A8" s="13" t="inlineStr">
        <is>
          <t>CAL</t>
        </is>
      </c>
      <c r="B8" s="13" t="inlineStr">
        <is>
          <t>Academic-Calendar-and-Timetables\Academic-Calendar-2026-2027-Corrected-2026-05-14.pdf</t>
        </is>
      </c>
    </row>
    <row r="9">
      <c r="A9" s="13" t="inlineStr">
        <is>
          <t>FL</t>
        </is>
      </c>
      <c r="B9" s="13" t="inlineStr">
        <is>
          <t>Academic-Calendar-and-Timetables\Foreign-Languages-Timetable-2026-2027-Sem-1.pdf</t>
        </is>
      </c>
    </row>
    <row r="10">
      <c r="A10" s="13" t="inlineStr">
        <is>
          <t>OLD</t>
        </is>
      </c>
      <c r="B10" s="13" t="inlineStr">
        <is>
          <t>Academic-Program\Mohammed-SCSEH-Study-Plan-2026-10-12.pdf (old AI-made plan, not official)</t>
        </is>
      </c>
    </row>
    <row r="11">
      <c r="A11" s="13" t="inlineStr">
        <is>
          <t>MOH</t>
        </is>
      </c>
      <c r="B11" s="13" t="inlineStr">
        <is>
          <t>Mohammed's own statements/corrections (planned adds, colour meaning) - not a document</t>
        </is>
      </c>
    </row>
    <row r="12">
      <c r="A12" s="13" t="inlineStr">
        <is>
          <t>OMAR</t>
        </is>
      </c>
      <c r="B12" s="13" t="inlineStr">
        <is>
          <t>The_Boots\01_Omar\STATE\CURRENT.md + OUTPUT\Mohammed_SCSEH_Plan_review_2026-10-13.md (status letter info: expected graduation 29 Aug 2029)</t>
        </is>
      </c>
    </row>
    <row r="13">
      <c r="A13" s="13" t="inlineStr"/>
      <c r="B13" s="13" t="inlineStr"/>
    </row>
    <row r="14">
      <c r="A14" s="13" t="inlineStr">
        <is>
          <t>Status</t>
        </is>
      </c>
      <c r="B14" s="13" t="inlineStr">
        <is>
          <t>Passed (grade) | Registered (slip) | To add (planned, unconfirmed) | Repeat needed | Not yet taken | Elective slot TBD | Failed - superseded by repeat</t>
        </is>
      </c>
    </row>
    <row r="15">
      <c r="A15" s="13" t="inlineStr">
        <is>
          <t>Tags</t>
        </is>
      </c>
      <c r="B15" s="13" t="inlineStr">
        <is>
          <t>P = proven in a document; C = calculated; A = assumption</t>
        </is>
      </c>
    </row>
    <row r="16">
      <c r="A16" s="13" t="inlineStr">
        <is>
          <t>Cats</t>
        </is>
      </c>
      <c r="B16" s="13" t="inlineStr">
        <is>
          <t>T faculty core 82; E programme electives 18; U university 20 (8 general + 4 free electives x 3); B English/languages 6; K co-curriculum 2 = 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2026-10-13T20:45:06Z</dcterms:created>
  <dcterms:modified xmlns:dcterms="http://purl.org/dc/terms/" xmlns:xsi="http://www.w3.org/2001/XMLSchema-instance" xsi:type="dcterms:W3CDTF">2026-10-13T20:45:06Z</dcterms:modified>
</cp:coreProperties>
</file>